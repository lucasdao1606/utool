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ucasdao\Desktop\"/>
    </mc:Choice>
  </mc:AlternateContent>
  <xr:revisionPtr revIDLastSave="0" documentId="13_ncr:1_{E0547307-32A2-45B0-8CC0-B0C5A2DE6603}" xr6:coauthVersionLast="47" xr6:coauthVersionMax="47" xr10:uidLastSave="{00000000-0000-0000-0000-000000000000}"/>
  <bookViews>
    <workbookView xWindow="-105" yWindow="360" windowWidth="18075" windowHeight="1503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9" i="1" l="1"/>
  <c r="G89" i="1"/>
  <c r="E89" i="1"/>
  <c r="B89" i="1"/>
  <c r="B78" i="1"/>
  <c r="B65" i="1"/>
  <c r="I41" i="1"/>
  <c r="G41" i="1"/>
  <c r="E41" i="1"/>
  <c r="B41" i="1"/>
  <c r="I29" i="1"/>
  <c r="G29" i="1"/>
  <c r="E29" i="1"/>
  <c r="B29" i="1"/>
  <c r="I19" i="1"/>
  <c r="G19" i="1"/>
  <c r="E19" i="1"/>
  <c r="B19" i="1"/>
  <c r="I8" i="1"/>
  <c r="G8" i="1"/>
  <c r="E8" i="1"/>
  <c r="B8" i="1"/>
</calcChain>
</file>

<file path=xl/sharedStrings.xml><?xml version="1.0" encoding="utf-8"?>
<sst xmlns="http://schemas.openxmlformats.org/spreadsheetml/2006/main" count="909" uniqueCount="361">
  <si>
    <r>
      <t xml:space="preserve">Phụ lục III.1
XÂY DỰNG CHỈ TIÊU KỸ THUẬT CHI TIẾT ĐỒNG BỘ PHỤ KIỆN
</t>
    </r>
    <r>
      <rPr>
        <i/>
        <sz val="16"/>
        <rFont val="Times New Roman"/>
        <family val="1"/>
      </rPr>
      <t>(Kèm theo Tờ trình số:          /TTr-K1-TT ngày    tháng      năm 2026)</t>
    </r>
  </si>
  <si>
    <t>TT</t>
  </si>
  <si>
    <t xml:space="preserve">Yêu cầu kỹ thuật </t>
  </si>
  <si>
    <t>Sản phẩm đáp ứng</t>
  </si>
  <si>
    <t>Tham khảo 1</t>
  </si>
  <si>
    <t>Tham khảo 2</t>
  </si>
  <si>
    <t>Tham khảo 3</t>
  </si>
  <si>
    <t>Chỉ tiêu</t>
  </si>
  <si>
    <t>Yêu cầu</t>
  </si>
  <si>
    <t>Chỉ tiêu kỹ thuật</t>
  </si>
  <si>
    <t>Đánh giá</t>
  </si>
  <si>
    <t>A</t>
  </si>
  <si>
    <t>HỆ THỐNG TRÊN KHOANG ADT</t>
  </si>
  <si>
    <t>A.1</t>
  </si>
  <si>
    <t>Hệ thống thông tin LOS</t>
  </si>
  <si>
    <t>-</t>
  </si>
  <si>
    <t>Thiết bị LOS Datalink trên khoang</t>
  </si>
  <si>
    <t>I</t>
  </si>
  <si>
    <t>Điện áp hoạt động</t>
  </si>
  <si>
    <t>Hoạt động được tại 24VDC</t>
  </si>
  <si>
    <t>CTCB</t>
  </si>
  <si>
    <t>12-30 VDC</t>
  </si>
  <si>
    <t>Đạt</t>
  </si>
  <si>
    <t>24 VDC</t>
  </si>
  <si>
    <t>24 ~ 36 VDC</t>
  </si>
  <si>
    <t>Giao thức điều khiển</t>
  </si>
  <si>
    <t>RS485 hoặc RS232 hoặc Ethernet</t>
  </si>
  <si>
    <t>Ethernet, RS485</t>
  </si>
  <si>
    <t>RS-422 và USB</t>
  </si>
  <si>
    <t>RS-485</t>
  </si>
  <si>
    <t>Góc quay hướng Pan</t>
  </si>
  <si>
    <t>360° liên tục</t>
  </si>
  <si>
    <t>Độ phân giải góc Pan</t>
  </si>
  <si>
    <t>≤  0.1°</t>
  </si>
  <si>
    <t>0,005°</t>
  </si>
  <si>
    <t>0.00025°</t>
  </si>
  <si>
    <t>0.0225° (từ encoder 16000 ppr)</t>
  </si>
  <si>
    <t>Tốc độ quay lớn nhất (góc Pan)</t>
  </si>
  <si>
    <t>≥ 60°/s</t>
  </si>
  <si>
    <t>150˚/s</t>
  </si>
  <si>
    <t xml:space="preserve">80°/s
</t>
  </si>
  <si>
    <t>Max 60°/s (có thể tùy chỉnh)</t>
  </si>
  <si>
    <t>Góc quay hướng Tilt</t>
  </si>
  <si>
    <t>đáp ứng dải tới 60°</t>
  </si>
  <si>
    <t>±90°</t>
  </si>
  <si>
    <r>
      <rPr>
        <sz val="13"/>
        <rFont val="Aptos Narrow"/>
        <family val="2"/>
      </rPr>
      <t>±</t>
    </r>
    <r>
      <rPr>
        <sz val="13"/>
        <rFont val="Times New Roman"/>
        <family val="1"/>
      </rPr>
      <t>45°</t>
    </r>
  </si>
  <si>
    <t xml:space="preserve">0° ～ 60° </t>
  </si>
  <si>
    <t>Độ phân giải góc tilt</t>
  </si>
  <si>
    <t>0,005˚</t>
  </si>
  <si>
    <t>~0.088° (absolute encoder 12-bit)</t>
  </si>
  <si>
    <t>Tốc độ quay lớn nhất (góc Tilt)</t>
  </si>
  <si>
    <t>≥ 20°/s</t>
  </si>
  <si>
    <t>50˚/s</t>
  </si>
  <si>
    <t>20°/s</t>
  </si>
  <si>
    <t>60°/s (có thể tùy chỉnh)</t>
  </si>
  <si>
    <t>Giao liên</t>
  </si>
  <si>
    <t>≥ 1 kênh, RF SMA tần số hoạt động bao dải DC-5 GHz</t>
  </si>
  <si>
    <t>KCB</t>
  </si>
  <si>
    <r>
      <t>1 channel RF SMA , tần số hoạt động DC ~</t>
    </r>
    <r>
      <rPr>
        <sz val="13"/>
        <color rgb="FFFF0000"/>
        <rFont val="Times New Roman"/>
        <family val="1"/>
      </rPr>
      <t>8HGz</t>
    </r>
  </si>
  <si>
    <t>Khối lượng (kg)</t>
  </si>
  <si>
    <t>≤ 3 kg</t>
  </si>
  <si>
    <t>2,1 kg</t>
  </si>
  <si>
    <t>~2,5 kg</t>
  </si>
  <si>
    <t xml:space="preserve">2 ± 0,2 kg </t>
  </si>
  <si>
    <t>II</t>
  </si>
  <si>
    <t>Dải tần hoạt động, bao dải</t>
  </si>
  <si>
    <t>4,4 GHz ÷ 5,0 GHz</t>
  </si>
  <si>
    <t>4,4 GHz ÷ 6 GHz</t>
  </si>
  <si>
    <t>VSWR (trong 90% dải tần hoạt động)</t>
  </si>
  <si>
    <t>≤ 2: 1</t>
  </si>
  <si>
    <t>2,0 : 1</t>
  </si>
  <si>
    <t>&lt;1.7:1</t>
  </si>
  <si>
    <t>Gain (trong 90% dải tần hoạt động)</t>
  </si>
  <si>
    <t>≥ 3dBi</t>
  </si>
  <si>
    <t>6,0 dBi (peak)</t>
  </si>
  <si>
    <t>3,7 dBi</t>
  </si>
  <si>
    <t xml:space="preserve">Phân cực </t>
  </si>
  <si>
    <t>Tuyến tính</t>
  </si>
  <si>
    <t>Tuyến tính (V)</t>
  </si>
  <si>
    <r>
      <t xml:space="preserve">Tuyến tính (V)
</t>
    </r>
    <r>
      <rPr>
        <sz val="13"/>
        <color rgb="FFFF0000"/>
        <rFont val="Times New Roman"/>
        <family val="1"/>
      </rPr>
      <t>Multi-Polarized</t>
    </r>
  </si>
  <si>
    <t>Độ rộng búp sóng (trong 90% dải tần hoạt động)
Mặt ngang (Azimuth)</t>
  </si>
  <si>
    <t>360 độ</t>
  </si>
  <si>
    <t>Độ rộng búp sóng (trong 90% dải tần hoạt động)
Mặt đứng (Elevation)</t>
  </si>
  <si>
    <t xml:space="preserve"> ≥ 25 độ</t>
  </si>
  <si>
    <t>30 độ</t>
  </si>
  <si>
    <t xml:space="preserve"> ≥30 độ</t>
  </si>
  <si>
    <t>Công suất hoạt động (danh định)</t>
  </si>
  <si>
    <t>≥ 50 W</t>
  </si>
  <si>
    <t>50 W</t>
  </si>
  <si>
    <t>Kích thước (Dài x Rộng)</t>
  </si>
  <si>
    <t>≤ 280 x 30 (mm)</t>
  </si>
  <si>
    <t>196,85mm x 20,62mm</t>
  </si>
  <si>
    <t>139,7mm x 25,4mm</t>
  </si>
  <si>
    <t>275,59mm x 20,62mm</t>
  </si>
  <si>
    <t xml:space="preserve">Loại ăng ten </t>
  </si>
  <si>
    <t>Omni Antenna</t>
  </si>
  <si>
    <t>III</t>
  </si>
  <si>
    <t>Dải tần hoạt động</t>
  </si>
  <si>
    <t>Bao gồm dải từ 225 MHz ÷ 512 MHz</t>
  </si>
  <si>
    <t>225 - 512MHz</t>
  </si>
  <si>
    <t>30 MHz ÷ 512 MHz</t>
  </si>
  <si>
    <t>Bao gồm dải từ 30 MHz ÷ 512 MHz</t>
  </si>
  <si>
    <t>Kiểu ăng ten</t>
  </si>
  <si>
    <t>Blade</t>
  </si>
  <si>
    <t xml:space="preserve"> ≤ 2,5:1</t>
  </si>
  <si>
    <t>2,5:1</t>
  </si>
  <si>
    <t>&lt; 2,5:1 dải 225-512 MHz</t>
  </si>
  <si>
    <t>≤2,3:1 dải 225-512 MHz</t>
  </si>
  <si>
    <t>Gain (dBi) (trong 90% dải tần hoạt động)</t>
  </si>
  <si>
    <t xml:space="preserve">≥ -4 dBi </t>
  </si>
  <si>
    <t>+2 dBi average</t>
  </si>
  <si>
    <t>&gt; 2dBi dải 225-512 MHz</t>
  </si>
  <si>
    <r>
      <t>-</t>
    </r>
    <r>
      <rPr>
        <sz val="13"/>
        <color rgb="FFFF0000"/>
        <rFont val="Times New Roman"/>
        <family val="1"/>
      </rPr>
      <t xml:space="preserve">4dBi </t>
    </r>
    <r>
      <rPr>
        <sz val="13"/>
        <color theme="1"/>
        <rFont val="Times New Roman"/>
        <family val="1"/>
      </rPr>
      <t>(</t>
    </r>
    <r>
      <rPr>
        <sz val="13"/>
        <color rgb="FFFF0000"/>
        <rFont val="Times New Roman"/>
        <family val="1"/>
      </rPr>
      <t>512 MHz</t>
    </r>
    <r>
      <rPr>
        <sz val="13"/>
        <color theme="1"/>
        <rFont val="Times New Roman"/>
        <family val="1"/>
      </rPr>
      <t>)</t>
    </r>
  </si>
  <si>
    <t>Phân cực</t>
  </si>
  <si>
    <t xml:space="preserve"> Tuyến tính</t>
  </si>
  <si>
    <t>Tuyến tính (Vertical)</t>
  </si>
  <si>
    <t>Dạng búp sóng Mặt ngang (Azimuth)  (trong 90% dải tần hoạt động)</t>
  </si>
  <si>
    <t>Omni directional</t>
  </si>
  <si>
    <t>Trở kháng đầu vào</t>
  </si>
  <si>
    <t>50 Ohm</t>
  </si>
  <si>
    <t xml:space="preserve"> ≥ 50 W</t>
  </si>
  <si>
    <t>100W</t>
  </si>
  <si>
    <t>50W</t>
  </si>
  <si>
    <t>Kích thước (Dài x Rộng (hoặc đường kính anten))</t>
  </si>
  <si>
    <t xml:space="preserve"> ≤ 650 x 80 (mm)</t>
  </si>
  <si>
    <t>197 mm</t>
  </si>
  <si>
    <t>298,7 x 91,4 x 373,3 mm</t>
  </si>
  <si>
    <t>300 x 276x 82 mm</t>
  </si>
  <si>
    <t>Khối lượng danh định</t>
  </si>
  <si>
    <t>≤ 600 g</t>
  </si>
  <si>
    <t>0,77 kg</t>
  </si>
  <si>
    <t>1,7 kg</t>
  </si>
  <si>
    <t>1,13 kg</t>
  </si>
  <si>
    <t>Connector</t>
  </si>
  <si>
    <t>TNC/BNC</t>
  </si>
  <si>
    <r>
      <t xml:space="preserve">BNC
</t>
    </r>
    <r>
      <rPr>
        <sz val="13"/>
        <color rgb="FFFF0000"/>
        <rFont val="Times New Roman"/>
        <family val="1"/>
      </rPr>
      <t>BNC Female</t>
    </r>
  </si>
  <si>
    <t>TNC Female</t>
  </si>
  <si>
    <t>IV</t>
  </si>
  <si>
    <t xml:space="preserve">VHF: 112 - 150 MHz và UHF: 225 - 400 </t>
  </si>
  <si>
    <t>108-174 MHz và 220-400 MHz</t>
  </si>
  <si>
    <r>
      <t xml:space="preserve">
</t>
    </r>
    <r>
      <rPr>
        <sz val="13"/>
        <color rgb="FFFF0000"/>
        <rFont val="Times New Roman"/>
        <family val="1"/>
      </rPr>
      <t>108–174 MHz và 225–512 MHz</t>
    </r>
  </si>
  <si>
    <t>108-174 MHz và 225-530 MHz</t>
  </si>
  <si>
    <t>≤ 3:1</t>
  </si>
  <si>
    <t>≤ 2,3:1</t>
  </si>
  <si>
    <t>&lt;2,5:1</t>
  </si>
  <si>
    <t xml:space="preserve"> Gain (dBi) (trong 90% dải tần hoạt động)</t>
  </si>
  <si>
    <t>≥ -12 dBi  dải 112 - 150 MHz
≥ -1 dBi  dải 220 - 400 MHz</t>
  </si>
  <si>
    <t>≥ -2 dBi  dải 108 - 174 MHz
≥ 0 dBi  dải 220 - 400 MHz</t>
  </si>
  <si>
    <t>≥ -12 dBi  dải 108 - 174 MHz
≥ -1 dBi  dải 220 - 400 MHz</t>
  </si>
  <si>
    <t>≥ -3 dBi  dải 108 - 174 MHz
≥ 0 dBi  dải 225 - 530 MHz</t>
  </si>
  <si>
    <t xml:space="preserve"> Tuyến tính (Vertical)</t>
  </si>
  <si>
    <t>Tuyến tính  (Vertical)</t>
  </si>
  <si>
    <t xml:space="preserve"> ≥ 20 W</t>
  </si>
  <si>
    <t>100 W</t>
  </si>
  <si>
    <t>23 W</t>
  </si>
  <si>
    <t>Kích thước (chiều cao)</t>
  </si>
  <si>
    <t>≤ 400  mm</t>
  </si>
  <si>
    <t>315 mm</t>
  </si>
  <si>
    <t>300mm</t>
  </si>
  <si>
    <t>254 mm</t>
  </si>
  <si>
    <t>≤ 0,99 kg</t>
  </si>
  <si>
    <t>0,99 kg</t>
  </si>
  <si>
    <t>1,13  kg</t>
  </si>
  <si>
    <t>1,82 kg</t>
  </si>
  <si>
    <t>N Female/TNC Female</t>
  </si>
  <si>
    <t>N Female</t>
  </si>
  <si>
    <t>V</t>
  </si>
  <si>
    <t>Ăngten đăng hướng trên khoang</t>
  </si>
  <si>
    <t>'Mã NSX: 1087-067
Nhà sản xuất: Southwest Antennas</t>
  </si>
  <si>
    <t>Mã NSX: LCANOM1176
Nhà sản xuất: L-COM</t>
  </si>
  <si>
    <t>Mã NSX: FMANOM1178
Nhà sản xuất: Fairview Microwave</t>
  </si>
  <si>
    <t>Bao dải 4,4 GHz ÷ 5,0 GHz</t>
  </si>
  <si>
    <t>Nhà sản xuất: Southwest Antennas</t>
  </si>
  <si>
    <t>4,4 GHz ÷ 5,9 GHz</t>
  </si>
  <si>
    <t>≤ 3,0 : 1</t>
  </si>
  <si>
    <t>2,0:1</t>
  </si>
  <si>
    <t>Gain max (trong 90% dải tần hoạt động)</t>
  </si>
  <si>
    <t>≥ 3 dBi</t>
  </si>
  <si>
    <t>4dBi (max)</t>
  </si>
  <si>
    <t>3,75dBi (max)</t>
  </si>
  <si>
    <t>RHCP</t>
  </si>
  <si>
    <t>≥ 20 W</t>
  </si>
  <si>
    <t>20W</t>
  </si>
  <si>
    <r>
      <t xml:space="preserve">20W
</t>
    </r>
    <r>
      <rPr>
        <sz val="13"/>
        <color rgb="FFFF0000"/>
        <rFont val="Times New Roman"/>
        <family val="1"/>
      </rPr>
      <t>50W</t>
    </r>
  </si>
  <si>
    <r>
      <t xml:space="preserve">50W
</t>
    </r>
    <r>
      <rPr>
        <sz val="13"/>
        <color rgb="FFFF0000"/>
        <rFont val="Times New Roman"/>
        <family val="1"/>
      </rPr>
      <t>20W</t>
    </r>
  </si>
  <si>
    <t>≤ 170 x 60 (mm)</t>
  </si>
  <si>
    <t>168,4mm x 20,625mm</t>
  </si>
  <si>
    <t>127mmx20,62mm</t>
  </si>
  <si>
    <t>168,4mm x 59,99mm</t>
  </si>
  <si>
    <t>Khối lượng</t>
  </si>
  <si>
    <t>≤ 170 g</t>
  </si>
  <si>
    <t>168,4g</t>
  </si>
  <si>
    <t>113,4g</t>
  </si>
  <si>
    <t>90,72g</t>
  </si>
  <si>
    <t>Cổng đầu ra (connector)</t>
  </si>
  <si>
    <t>SMA / N /TNC male / TNC female</t>
  </si>
  <si>
    <t>N female</t>
  </si>
  <si>
    <t>Omni</t>
  </si>
  <si>
    <t>Omni-bifilar</t>
  </si>
  <si>
    <t>B</t>
  </si>
  <si>
    <t>HỆ THỐNG MẶT ĐẤT GDT</t>
  </si>
  <si>
    <t>B.1</t>
  </si>
  <si>
    <t>Thiết bị LOS Datalink mặt đất</t>
  </si>
  <si>
    <t>Mã NSX: PTU-D300EX
Nhà sản xuất:  Flir</t>
  </si>
  <si>
    <t>Mã NSX: TS-MPT-EO-3
Nhà sản xuất:  Triyosys</t>
  </si>
  <si>
    <t>Mã NSX: VES-ALS-360TG
Nhà sản xuất: Vietes</t>
  </si>
  <si>
    <t>Số trục</t>
  </si>
  <si>
    <t>Tải trọng tối đa</t>
  </si>
  <si>
    <t>≥ 40kg</t>
  </si>
  <si>
    <t>41kg</t>
  </si>
  <si>
    <t>65 kg</t>
  </si>
  <si>
    <t>60 kg</t>
  </si>
  <si>
    <t>Dải góc hướng làm việc</t>
  </si>
  <si>
    <t>Dải góc ngẩng làm việc</t>
  </si>
  <si>
    <t>bao vùng 50°</t>
  </si>
  <si>
    <t>30° ～ -90°</t>
  </si>
  <si>
    <t>-90° ～ 90°</t>
  </si>
  <si>
    <t>-15° ─ 90°</t>
  </si>
  <si>
    <t>Vận tốc góc hướng tối đa</t>
  </si>
  <si>
    <t>22°/s</t>
  </si>
  <si>
    <t>90°/s</t>
  </si>
  <si>
    <t>Vận tốc góc ngẩng tối đa</t>
  </si>
  <si>
    <t>60°/s</t>
  </si>
  <si>
    <t>Độ phân giải góc hướng</t>
  </si>
  <si>
    <t>≤ 0.1°</t>
  </si>
  <si>
    <t>0,003° (microstep)</t>
  </si>
  <si>
    <t>0,02° (độ chính xác)</t>
  </si>
  <si>
    <t>Độ phân giải góc ngẩng</t>
  </si>
  <si>
    <t>0,02°(độ chính xác)</t>
  </si>
  <si>
    <t xml:space="preserve"> Ethernet và nguồn DC</t>
  </si>
  <si>
    <t>Ethernet và nguồn DC</t>
  </si>
  <si>
    <t>≤ 16 kg</t>
  </si>
  <si>
    <t>12,7 kg</t>
  </si>
  <si>
    <t>15,8 kg</t>
  </si>
  <si>
    <t>15±0,5 kg</t>
  </si>
  <si>
    <t>Giao diện điều khiển</t>
  </si>
  <si>
    <t>RS232 hoặc RS485 hoặc Ethernet</t>
  </si>
  <si>
    <t>RS-232, RS-485/422, Ethernet</t>
  </si>
  <si>
    <t>Ethernet</t>
  </si>
  <si>
    <t>Ethernet, RS422</t>
  </si>
  <si>
    <t>Tiêu chuẩn chống nước</t>
  </si>
  <si>
    <t>IP66 trở lên</t>
  </si>
  <si>
    <t>IP67</t>
  </si>
  <si>
    <t>Mã NSX: APT-4732
Nhà sản xuất: ANTENNA EXPERTS</t>
  </si>
  <si>
    <t>Mã NSX: N045070D084A
Nhà sản xuất: Cambium Networks</t>
  </si>
  <si>
    <t>Mã NSX: FXPR4.4-5.0-D
Nhà sản xuất: Hascall-denke</t>
  </si>
  <si>
    <t>4,4 GHz ÷ 5 GHz</t>
  </si>
  <si>
    <t>4,4 ÷ 5,925 GHz</t>
  </si>
  <si>
    <t>Kiểu Ăng ten</t>
  </si>
  <si>
    <t>Dạng lưới</t>
  </si>
  <si>
    <t>≤ 2:1</t>
  </si>
  <si>
    <t>2 : 1 (max)</t>
  </si>
  <si>
    <t>2:1</t>
  </si>
  <si>
    <t>Độ lợi tối đa (trong 90% dải tần hoạt động)</t>
  </si>
  <si>
    <t xml:space="preserve">≥ 30±0.5 dBi </t>
  </si>
  <si>
    <t>31,5 dBi</t>
  </si>
  <si>
    <t>31,5 dBi (max)</t>
  </si>
  <si>
    <t>30±0,5 dBi (max)</t>
  </si>
  <si>
    <t>V&amp;H</t>
  </si>
  <si>
    <t>≤ 7°</t>
  </si>
  <si>
    <t>3,5°</t>
  </si>
  <si>
    <t>4,7 +/- 1,5°</t>
  </si>
  <si>
    <t>5°</t>
  </si>
  <si>
    <t>Đường kính</t>
  </si>
  <si>
    <t>≤ 1,3 m</t>
  </si>
  <si>
    <t>1,3 m</t>
  </si>
  <si>
    <t>0,9 m</t>
  </si>
  <si>
    <t>0,82 m</t>
  </si>
  <si>
    <t>≤ 12 kg</t>
  </si>
  <si>
    <t>12 kg</t>
  </si>
  <si>
    <t>8Kg</t>
  </si>
  <si>
    <t>11,5 Kg</t>
  </si>
  <si>
    <t>Sức gió hoạt động</t>
  </si>
  <si>
    <t>≥ 145 km/h</t>
  </si>
  <si>
    <t>200 km/h</t>
  </si>
  <si>
    <t>145 km/h</t>
  </si>
  <si>
    <t>4,4 GHz ÷ 5,85 GHz</t>
  </si>
  <si>
    <t>4,4 GHz ÷ 5,2 GHz</t>
  </si>
  <si>
    <t>2,0 : 1 (4,8GHz - 5,1GHz)
2,65 : 1 (&lt; 4,8GHz và &gt;5,1GHz)</t>
  </si>
  <si>
    <t>2,32 : 1</t>
  </si>
  <si>
    <r>
      <t xml:space="preserve">1,5 : 1
</t>
    </r>
    <r>
      <rPr>
        <sz val="13"/>
        <color rgb="FFFF0000"/>
        <rFont val="Times New Roman"/>
        <family val="1"/>
      </rPr>
      <t>&lt;1,5 : 1</t>
    </r>
  </si>
  <si>
    <t xml:space="preserve">≥ 1,5 dBi </t>
  </si>
  <si>
    <t>2dBi</t>
  </si>
  <si>
    <t>3dBi</t>
  </si>
  <si>
    <t>4,5dBi</t>
  </si>
  <si>
    <t>Đa phân cực tuyến tính (V &amp; H)</t>
  </si>
  <si>
    <t>≥ 10 W</t>
  </si>
  <si>
    <r>
      <t xml:space="preserve">20W
</t>
    </r>
    <r>
      <rPr>
        <sz val="13"/>
        <color rgb="FFFF0000"/>
        <rFont val="Times New Roman"/>
        <family val="1"/>
      </rPr>
      <t>30W</t>
    </r>
  </si>
  <si>
    <t>≤ 50 x 80 (mm)</t>
  </si>
  <si>
    <t>25,4mm x 44,45mm</t>
  </si>
  <si>
    <r>
      <t xml:space="preserve">43,33mmx76,20mm
</t>
    </r>
    <r>
      <rPr>
        <sz val="13"/>
        <color rgb="FFFF0000"/>
        <rFont val="Times New Roman"/>
        <family val="1"/>
      </rPr>
      <t>44 x 76 mm</t>
    </r>
  </si>
  <si>
    <t xml:space="preserve">1 inch x 1,7 inch (25,4mm x 43,18mm) </t>
  </si>
  <si>
    <t>≤ 60 g</t>
  </si>
  <si>
    <t>31g</t>
  </si>
  <si>
    <t>42g</t>
  </si>
  <si>
    <t>57g</t>
  </si>
  <si>
    <r>
      <t xml:space="preserve">SMA
</t>
    </r>
    <r>
      <rPr>
        <sz val="13"/>
        <color rgb="FFFF0000"/>
        <rFont val="Times New Roman"/>
        <family val="1"/>
      </rPr>
      <t>TNC Female (Optional: SMA,N, MCX, MMCX, SMB, QMA)</t>
    </r>
  </si>
  <si>
    <t>SMA female</t>
  </si>
  <si>
    <r>
      <t xml:space="preserve">SMA female
</t>
    </r>
    <r>
      <rPr>
        <sz val="13"/>
        <color rgb="FFFF0000"/>
        <rFont val="Times New Roman"/>
        <family val="1"/>
      </rPr>
      <t>N-Female, N-Male, SMA-Mal,e SMA-Female, RPSMA-Male và RPTNC Male</t>
    </r>
  </si>
  <si>
    <t>Đẳng hướng (Omni)</t>
  </si>
  <si>
    <t>Omni-directional</t>
  </si>
  <si>
    <t xml:space="preserve">Ăng ten định hướng trạm mặt đất cho ULOS </t>
  </si>
  <si>
    <t>Mã NSX: AD-22/BF
Nhà sản xuất: Trival</t>
  </si>
  <si>
    <t>Mã NSX: LPDP-100-500
Nhà sản xuất: Antenna experts</t>
  </si>
  <si>
    <t>Mã NSX: WR2250B
Nhà sản xuất: Alaris Cojot</t>
  </si>
  <si>
    <t>225 MHz ÷ 512 MHz</t>
  </si>
  <si>
    <t>100 MHz ÷ 500 MHz</t>
  </si>
  <si>
    <t>Log periodic hoặc Conner Reflector</t>
  </si>
  <si>
    <t>Log periodic</t>
  </si>
  <si>
    <t>Corner Reflector</t>
  </si>
  <si>
    <t xml:space="preserve"> &lt; 2:1</t>
  </si>
  <si>
    <t xml:space="preserve"> 2,5:1</t>
  </si>
  <si>
    <t>&lt; 2,5:1</t>
  </si>
  <si>
    <t xml:space="preserve">≥ 7 dBi </t>
  </si>
  <si>
    <t>7 dBi</t>
  </si>
  <si>
    <t>9 dBi</t>
  </si>
  <si>
    <t>10 dBi</t>
  </si>
  <si>
    <t>Tuyến tính (Horizontal/ Vertical)</t>
  </si>
  <si>
    <t>Tuyến tính (Vertical &amp; Horizontal)</t>
  </si>
  <si>
    <t>Độ rộng búp sóng Mặt ngang (Azimuth)  (trong 90% dải tần hoạt động)</t>
  </si>
  <si>
    <t xml:space="preserve"> ≥ 30 độ</t>
  </si>
  <si>
    <t>65 độ</t>
  </si>
  <si>
    <t>30 đến 70 độ</t>
  </si>
  <si>
    <t>Trở kháng đầu vào (trong 90% dải tần hoạt động)</t>
  </si>
  <si>
    <t xml:space="preserve"> ≥ 100 W</t>
  </si>
  <si>
    <t>500W (CW)</t>
  </si>
  <si>
    <t>250W</t>
  </si>
  <si>
    <t>100 W (RMS)</t>
  </si>
  <si>
    <t xml:space="preserve">Kích thước dài </t>
  </si>
  <si>
    <t>≤1,5m</t>
  </si>
  <si>
    <t>1 m</t>
  </si>
  <si>
    <t>1,5m</t>
  </si>
  <si>
    <t>1,18m</t>
  </si>
  <si>
    <t>≤ 10kg</t>
  </si>
  <si>
    <t>3,1kg</t>
  </si>
  <si>
    <t>10kg</t>
  </si>
  <si>
    <t>6kg</t>
  </si>
  <si>
    <t xml:space="preserve">Ăngten GPS </t>
  </si>
  <si>
    <t>Mã NSX: 33-8889-00-3000
Nhà sản xuất: Tallysman</t>
  </si>
  <si>
    <t>Mã NSX: YG0063AA
Nhà sản xuất: Quectel</t>
  </si>
  <si>
    <t>Mã NSX: YOZ-52570ZZ01-YM
Nhà sản xuất: Yokowo Manufacturing of America, LLC.</t>
  </si>
  <si>
    <t>Băng tần hoạt động, bao gồm</t>
  </si>
  <si>
    <t>GPS L1/L2, Glonass G1/G2</t>
  </si>
  <si>
    <r>
      <t xml:space="preserve">
</t>
    </r>
    <r>
      <rPr>
        <sz val="13"/>
        <color rgb="FFFF0000"/>
        <rFont val="Times New Roman"/>
        <family val="1"/>
      </rPr>
      <t>GPS L1/L2 + GLONASS G1/G2/G3 + BeiDou B1/B2</t>
    </r>
    <r>
      <rPr>
        <b/>
        <sz val="13"/>
        <color rgb="FFFF0000"/>
        <rFont val="Times New Roman"/>
        <family val="1"/>
      </rPr>
      <t>b</t>
    </r>
    <r>
      <rPr>
        <sz val="13"/>
        <color rgb="FFFF0000"/>
        <rFont val="Times New Roman"/>
        <family val="1"/>
      </rPr>
      <t xml:space="preserve"> + Galileo E1/E5b</t>
    </r>
  </si>
  <si>
    <t>GPS L1/L2/L5, BDS B1/B2/B3, GLONASS L1/L2, Galileo 
E1/E5a/E5b/E6, L-band</t>
  </si>
  <si>
    <t>1,8:1 max</t>
  </si>
  <si>
    <t>1,2:1</t>
  </si>
  <si>
    <t>3:1 max</t>
  </si>
  <si>
    <t xml:space="preserve"> Loại ăng ten</t>
  </si>
  <si>
    <t>active antenna</t>
  </si>
  <si>
    <t>Độ lợi LNA danh định (trong 90% dải tần hoạt động)</t>
  </si>
  <si>
    <t>≥ 25 dB</t>
  </si>
  <si>
    <t>27dB typ</t>
  </si>
  <si>
    <t>39 ±4 dB</t>
  </si>
  <si>
    <t>31,7 dB max</t>
  </si>
  <si>
    <t>Chống nước</t>
  </si>
  <si>
    <t>IPx5 hoặc tốt hơn</t>
  </si>
  <si>
    <t>IP68</t>
  </si>
  <si>
    <t>IP65</t>
  </si>
  <si>
    <t>IP66</t>
  </si>
  <si>
    <t>KHỐI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</si>
</sst>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i/>
      <sz val="16"/>
      <name val="Times New Roman"/>
      <family val="1"/>
    </font>
    <font>
      <b/>
      <sz val="13"/>
      <name val="Times New Roman"/>
      <family val="1"/>
    </font>
    <font>
      <b/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sz val="13"/>
      <name val="Times New Roman"/>
      <family val="2"/>
    </font>
    <font>
      <sz val="13"/>
      <name val="Aptos Narrow"/>
      <family val="2"/>
    </font>
    <font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96">
    <xf numFmtId="0" fontId="0" fillId="0" borderId="0" xfId="0"/>
    <xf numFmtId="0" fontId="2" fillId="2" borderId="1" xfId="1" applyFont="1" applyFill="1" applyBorder="1" applyAlignment="1">
      <alignment horizontal="center" vertical="top" wrapText="1"/>
    </xf>
    <xf numFmtId="0" fontId="4" fillId="3" borderId="2" xfId="2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0" fontId="4" fillId="3" borderId="2" xfId="2" applyFont="1" applyFill="1" applyBorder="1" applyAlignment="1">
      <alignment horizontal="center" vertical="center" wrapText="1"/>
    </xf>
    <xf numFmtId="0" fontId="5" fillId="4" borderId="2" xfId="0" quotePrefix="1" applyFont="1" applyFill="1" applyBorder="1" applyAlignment="1">
      <alignment horizontal="center" vertical="center"/>
    </xf>
    <xf numFmtId="0" fontId="5" fillId="4" borderId="2" xfId="0" quotePrefix="1" applyFont="1" applyFill="1" applyBorder="1" applyAlignment="1">
      <alignment horizontal="left" vertical="center"/>
    </xf>
    <xf numFmtId="0" fontId="5" fillId="5" borderId="2" xfId="0" quotePrefix="1" applyFont="1" applyFill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left" vertical="center"/>
    </xf>
    <xf numFmtId="0" fontId="5" fillId="6" borderId="2" xfId="0" quotePrefix="1" applyFont="1" applyFill="1" applyBorder="1" applyAlignment="1">
      <alignment horizontal="center" vertical="center"/>
    </xf>
    <xf numFmtId="0" fontId="5" fillId="6" borderId="2" xfId="0" quotePrefix="1" applyFont="1" applyFill="1" applyBorder="1" applyAlignment="1">
      <alignment horizontal="left" vertical="center"/>
    </xf>
    <xf numFmtId="0" fontId="5" fillId="7" borderId="2" xfId="0" quotePrefix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 wrapText="1"/>
    </xf>
    <xf numFmtId="0" fontId="4" fillId="7" borderId="2" xfId="3" applyFont="1" applyFill="1" applyBorder="1" applyAlignment="1">
      <alignment horizontal="left" vertical="center" wrapText="1"/>
    </xf>
    <xf numFmtId="0" fontId="4" fillId="7" borderId="2" xfId="3" applyFont="1" applyFill="1" applyBorder="1" applyAlignment="1">
      <alignment horizontal="center" vertical="center"/>
    </xf>
    <xf numFmtId="0" fontId="4" fillId="7" borderId="3" xfId="3" applyFont="1" applyFill="1" applyBorder="1" applyAlignment="1">
      <alignment horizontal="center" vertical="center" wrapText="1"/>
    </xf>
    <xf numFmtId="0" fontId="4" fillId="7" borderId="4" xfId="3" applyFont="1" applyFill="1" applyBorder="1" applyAlignment="1">
      <alignment horizontal="center" vertical="center" wrapText="1"/>
    </xf>
    <xf numFmtId="0" fontId="7" fillId="2" borderId="2" xfId="3" applyFont="1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3" borderId="2" xfId="3" applyFont="1" applyFill="1" applyBorder="1" applyAlignment="1">
      <alignment horizontal="left" vertical="center" wrapText="1"/>
    </xf>
    <xf numFmtId="0" fontId="7" fillId="3" borderId="2" xfId="3" applyFont="1" applyFill="1" applyBorder="1" applyAlignment="1">
      <alignment horizontal="center" vertical="center" wrapText="1"/>
    </xf>
    <xf numFmtId="0" fontId="8" fillId="2" borderId="2" xfId="3" applyFont="1" applyFill="1" applyBorder="1" applyAlignment="1">
      <alignment horizontal="left" vertical="center" wrapText="1"/>
    </xf>
    <xf numFmtId="0" fontId="8" fillId="0" borderId="2" xfId="3" applyFont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9" fillId="3" borderId="2" xfId="3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8" borderId="2" xfId="3" applyFont="1" applyFill="1" applyBorder="1" applyAlignment="1">
      <alignment horizontal="center" vertical="center"/>
    </xf>
    <xf numFmtId="0" fontId="7" fillId="8" borderId="2" xfId="3" applyFont="1" applyFill="1" applyBorder="1" applyAlignment="1">
      <alignment horizontal="left" vertical="center" wrapText="1"/>
    </xf>
    <xf numFmtId="0" fontId="7" fillId="8" borderId="2" xfId="3" applyFont="1" applyFill="1" applyBorder="1" applyAlignment="1">
      <alignment horizontal="center" vertical="center" wrapText="1"/>
    </xf>
    <xf numFmtId="0" fontId="7" fillId="2" borderId="2" xfId="3" applyFont="1" applyFill="1" applyBorder="1" applyAlignment="1">
      <alignment horizontal="left" vertical="center" wrapText="1"/>
    </xf>
    <xf numFmtId="0" fontId="7" fillId="3" borderId="3" xfId="3" applyFont="1" applyFill="1" applyBorder="1" applyAlignment="1">
      <alignment horizontal="left" vertical="center" wrapText="1"/>
    </xf>
    <xf numFmtId="0" fontId="4" fillId="8" borderId="3" xfId="3" applyFont="1" applyFill="1" applyBorder="1" applyAlignment="1">
      <alignment horizontal="center" vertical="center" wrapText="1"/>
    </xf>
    <xf numFmtId="0" fontId="4" fillId="8" borderId="4" xfId="3" applyFont="1" applyFill="1" applyBorder="1" applyAlignment="1">
      <alignment horizontal="center" vertical="center" wrapText="1"/>
    </xf>
    <xf numFmtId="0" fontId="7" fillId="0" borderId="3" xfId="3" applyFont="1" applyBorder="1" applyAlignment="1">
      <alignment vertical="center"/>
    </xf>
    <xf numFmtId="0" fontId="7" fillId="0" borderId="2" xfId="3" applyFont="1" applyBorder="1" applyAlignment="1">
      <alignment horizontal="left" vertical="center" wrapText="1"/>
    </xf>
    <xf numFmtId="0" fontId="7" fillId="0" borderId="2" xfId="3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20" fontId="7" fillId="3" borderId="2" xfId="3" applyNumberFormat="1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2" borderId="3" xfId="3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vertical="center" wrapText="1"/>
    </xf>
    <xf numFmtId="0" fontId="7" fillId="3" borderId="4" xfId="3" applyFont="1" applyFill="1" applyBorder="1" applyAlignment="1">
      <alignment horizontal="center" vertical="center"/>
    </xf>
    <xf numFmtId="0" fontId="7" fillId="0" borderId="2" xfId="3" applyFont="1" applyBorder="1" applyAlignment="1">
      <alignment horizontal="left" vertical="center"/>
    </xf>
    <xf numFmtId="0" fontId="7" fillId="3" borderId="2" xfId="3" applyFont="1" applyFill="1" applyBorder="1" applyAlignment="1">
      <alignment horizontal="left" vertical="center"/>
    </xf>
    <xf numFmtId="0" fontId="7" fillId="3" borderId="2" xfId="3" applyFont="1" applyFill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20" fontId="7" fillId="3" borderId="2" xfId="3" quotePrefix="1" applyNumberFormat="1" applyFont="1" applyFill="1" applyBorder="1" applyAlignment="1">
      <alignment horizontal="left" vertical="center" wrapText="1"/>
    </xf>
    <xf numFmtId="0" fontId="7" fillId="3" borderId="2" xfId="3" quotePrefix="1" applyFont="1" applyFill="1" applyBorder="1" applyAlignment="1">
      <alignment horizontal="left" vertical="center" wrapText="1"/>
    </xf>
    <xf numFmtId="0" fontId="11" fillId="3" borderId="0" xfId="0" applyFont="1" applyFill="1"/>
    <xf numFmtId="0" fontId="11" fillId="0" borderId="0" xfId="0" quotePrefix="1" applyFont="1" applyAlignment="1">
      <alignment wrapText="1"/>
    </xf>
    <xf numFmtId="0" fontId="7" fillId="0" borderId="2" xfId="3" applyFont="1" applyBorder="1" applyAlignment="1">
      <alignment horizontal="center" vertical="center" wrapText="1"/>
    </xf>
    <xf numFmtId="0" fontId="11" fillId="3" borderId="0" xfId="0" applyFont="1" applyFill="1" applyAlignment="1">
      <alignment vertical="center"/>
    </xf>
    <xf numFmtId="0" fontId="7" fillId="2" borderId="2" xfId="3" applyFont="1" applyFill="1" applyBorder="1" applyAlignment="1">
      <alignment horizontal="left" vertical="center"/>
    </xf>
    <xf numFmtId="0" fontId="7" fillId="3" borderId="3" xfId="3" applyFont="1" applyFill="1" applyBorder="1" applyAlignment="1">
      <alignment horizontal="left" vertical="center"/>
    </xf>
    <xf numFmtId="0" fontId="7" fillId="0" borderId="3" xfId="3" applyFont="1" applyBorder="1" applyAlignment="1">
      <alignment horizontal="left" vertical="center" wrapText="1"/>
    </xf>
    <xf numFmtId="0" fontId="7" fillId="3" borderId="5" xfId="3" applyFont="1" applyFill="1" applyBorder="1" applyAlignment="1">
      <alignment horizontal="left" vertical="center"/>
    </xf>
    <xf numFmtId="0" fontId="7" fillId="2" borderId="2" xfId="3" applyFont="1" applyFill="1" applyBorder="1" applyAlignment="1">
      <alignment horizontal="left" vertical="top" wrapText="1"/>
    </xf>
    <xf numFmtId="0" fontId="7" fillId="3" borderId="2" xfId="3" quotePrefix="1" applyFont="1" applyFill="1" applyBorder="1" applyAlignment="1">
      <alignment horizontal="center" vertical="center"/>
    </xf>
    <xf numFmtId="0" fontId="7" fillId="3" borderId="6" xfId="3" applyFont="1" applyFill="1" applyBorder="1" applyAlignment="1">
      <alignment horizontal="center" vertical="center"/>
    </xf>
    <xf numFmtId="0" fontId="5" fillId="7" borderId="2" xfId="0" quotePrefix="1" applyFont="1" applyFill="1" applyBorder="1" applyAlignment="1">
      <alignment horizontal="center" vertical="center" wrapText="1"/>
    </xf>
    <xf numFmtId="0" fontId="5" fillId="7" borderId="2" xfId="0" quotePrefix="1" applyFont="1" applyFill="1" applyBorder="1" applyAlignment="1">
      <alignment horizontal="left" vertical="center" wrapText="1"/>
    </xf>
    <xf numFmtId="0" fontId="5" fillId="7" borderId="3" xfId="0" quotePrefix="1" applyFont="1" applyFill="1" applyBorder="1" applyAlignment="1">
      <alignment horizontal="center" vertical="center" wrapText="1"/>
    </xf>
    <xf numFmtId="0" fontId="5" fillId="7" borderId="4" xfId="0" quotePrefix="1" applyFont="1" applyFill="1" applyBorder="1" applyAlignment="1">
      <alignment horizontal="center" vertical="center" wrapText="1"/>
    </xf>
    <xf numFmtId="0" fontId="7" fillId="0" borderId="3" xfId="3" applyFont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7" fillId="8" borderId="3" xfId="3" applyFont="1" applyFill="1" applyBorder="1" applyAlignment="1">
      <alignment horizontal="left" vertical="center"/>
    </xf>
    <xf numFmtId="0" fontId="8" fillId="0" borderId="3" xfId="3" applyFont="1" applyBorder="1" applyAlignment="1">
      <alignment horizontal="left" vertical="center" wrapText="1"/>
    </xf>
    <xf numFmtId="0" fontId="7" fillId="8" borderId="3" xfId="3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vertical="center" wrapText="1"/>
    </xf>
    <xf numFmtId="0" fontId="11" fillId="8" borderId="4" xfId="0" applyFont="1" applyFill="1" applyBorder="1" applyAlignment="1">
      <alignment horizontal="left" vertical="center" wrapText="1"/>
    </xf>
    <xf numFmtId="0" fontId="11" fillId="8" borderId="4" xfId="0" quotePrefix="1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7" fillId="8" borderId="2" xfId="3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7" fillId="2" borderId="3" xfId="3" applyFont="1" applyFill="1" applyBorder="1" applyAlignment="1">
      <alignment vertical="center"/>
    </xf>
    <xf numFmtId="0" fontId="11" fillId="3" borderId="2" xfId="4" applyFont="1" applyFill="1" applyBorder="1" applyAlignment="1">
      <alignment horizontal="left" vertical="center" wrapText="1"/>
    </xf>
    <xf numFmtId="0" fontId="7" fillId="3" borderId="2" xfId="3" applyFont="1" applyFill="1" applyBorder="1" applyAlignment="1">
      <alignment vertical="center" wrapText="1"/>
    </xf>
    <xf numFmtId="0" fontId="4" fillId="8" borderId="2" xfId="3" quotePrefix="1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7" fillId="8" borderId="2" xfId="3" quotePrefix="1" applyFont="1" applyFill="1" applyBorder="1" applyAlignment="1">
      <alignment horizontal="left" vertical="center" wrapText="1"/>
    </xf>
    <xf numFmtId="0" fontId="7" fillId="0" borderId="3" xfId="5" applyFont="1" applyBorder="1" applyAlignment="1">
      <alignment vertical="center"/>
    </xf>
    <xf numFmtId="0" fontId="7" fillId="0" borderId="2" xfId="5" applyFont="1" applyBorder="1" applyAlignment="1">
      <alignment horizontal="left" vertical="center" wrapText="1"/>
    </xf>
    <xf numFmtId="0" fontId="7" fillId="0" borderId="3" xfId="5" applyFont="1" applyBorder="1" applyAlignment="1">
      <alignment vertical="center" wrapText="1"/>
    </xf>
    <xf numFmtId="0" fontId="13" fillId="0" borderId="0" xfId="1" applyFont="1" applyAlignment="1">
      <alignment vertical="center"/>
    </xf>
    <xf numFmtId="0" fontId="14" fillId="0" borderId="0" xfId="1" applyFont="1" applyAlignment="1">
      <alignment horizontal="center" vertical="center"/>
    </xf>
  </cellXfs>
  <cellStyles count="6">
    <cellStyle name="Normal" xfId="0" builtinId="0"/>
    <cellStyle name="Normal 10 2 2 2 2 3" xfId="2" xr:uid="{2DB2D31B-3167-402E-AD6A-ABCC77D6CB08}"/>
    <cellStyle name="Normal 23" xfId="1" xr:uid="{98878CD9-F8FD-4EA8-BFC3-2D85C4811C5A}"/>
    <cellStyle name="Normal 25 2" xfId="4" xr:uid="{DEE73702-DB05-4DD8-A1BC-5BB2EE342C3A}"/>
    <cellStyle name="Normal 25 2 7" xfId="5" xr:uid="{CE380054-190C-444E-AD3C-55714EC36D41}"/>
    <cellStyle name="Normal 25 8" xfId="3" xr:uid="{E56A34C1-9F5D-41C3-9719-25A5A27E1B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909420</xdr:colOff>
      <xdr:row>0</xdr:row>
      <xdr:rowOff>818423</xdr:rowOff>
    </xdr:from>
    <xdr:to>
      <xdr:col>6</xdr:col>
      <xdr:colOff>513360</xdr:colOff>
      <xdr:row>0</xdr:row>
      <xdr:rowOff>818423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0DB342C-3A45-4C3D-8ED3-5A4FF73BED6A}"/>
            </a:ext>
          </a:extLst>
        </xdr:cNvPr>
        <xdr:cNvCxnSpPr/>
      </xdr:nvCxnSpPr>
      <xdr:spPr>
        <a:xfrm>
          <a:off x="7472145" y="256448"/>
          <a:ext cx="28614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909420</xdr:colOff>
      <xdr:row>0</xdr:row>
      <xdr:rowOff>818423</xdr:rowOff>
    </xdr:from>
    <xdr:to>
      <xdr:col>6</xdr:col>
      <xdr:colOff>513360</xdr:colOff>
      <xdr:row>0</xdr:row>
      <xdr:rowOff>818423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889A28B-20B4-49E2-B640-9DAD45D8DC2C}"/>
            </a:ext>
          </a:extLst>
        </xdr:cNvPr>
        <xdr:cNvCxnSpPr/>
      </xdr:nvCxnSpPr>
      <xdr:spPr>
        <a:xfrm>
          <a:off x="7472145" y="256448"/>
          <a:ext cx="28614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HECK%20LIST%20CTKT%20H&#7890;%20S&#416;%20MUA%20S&#7854;M%20K1\20260319%20R&#224;%20so&#225;t%20ch&#7881;%20ti&#234;u%20bo%20m&#7841;ch,%20CK,%20&#272;BPK,%20IC%20v&#224;%20Kit%20cho%20&#273;&#7873;%20t&#224;i%20TU3\Nghia%20fb\1.%20Ph&#7909;%20l&#7909;c_19.03_Trang%20(3.1%20CTKT%20&#272;BPK)_nghiadt4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Microsoft/Windows/INetCache/Content.Outlook/FTDJUMI6/1.%20Ph&#7909;%20l&#7909;c_19.03_Trang%20(3.1%20CTKT%20&#272;BPK)_25Mar26.xlsx" TargetMode="External"/><Relationship Id="rId2" Type="http://schemas.openxmlformats.org/officeDocument/2006/relationships/externalLinkPath" Target="file:///C:\Users\lucasdao\AppData\Local\Microsoft\Windows\INetCache\Content.Outlook\FTDJUMI6\1.%20Ph&#7909;%20l&#7909;c_19.03_Trang%20(3.1%20CTKT%20&#272;BPK)_25Mar26.xlsx" TargetMode="External"/><Relationship Id="rId1" Type="http://schemas.openxmlformats.org/officeDocument/2006/relationships/externalLinkPath" Target="/Users/lucasdao/AppData/Local/Microsoft/Windows/INetCache/Content.Outlook/FTDJUMI6/1.%20Ph&#7909;%20l&#7909;c_19.03_Trang%20(3.1%20CTKT%20&#272;BPK)_25Mar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DM HH "/>
      <sheetName val="1. Bo mạch"/>
      <sheetName val="1.1 CTKT mạch"/>
      <sheetName val="1.2.1 VT hàn lắp Clos ADT"/>
      <sheetName val="1.2.2 VT hàn lắp Ulos ADT"/>
      <sheetName val="1.2.3 VT hàn lắp COM Relay ADT"/>
      <sheetName val="1.2.4 VT hàn lắp ĐB ADT"/>
      <sheetName val="1.2.5 VT hàn lắp Clos GDT"/>
      <sheetName val="1.2.6 VT hàn lắp Ulos GDT"/>
      <sheetName val="1.2.7 VT hàn lắp ĐB GDT"/>
      <sheetName val="2. Danh mục CK"/>
      <sheetName val="3. Danh mục ĐBPK"/>
      <sheetName val="3.1 CTKT ĐBPK"/>
      <sheetName val="4. Danh muc BFIC"/>
      <sheetName val="4.1 CTKT BFIC"/>
      <sheetName val="5.TSCĐ Drone_PinDrone"/>
      <sheetName val="5.1.CTKT Drone_PinDrone"/>
      <sheetName val="BOM Tổng thể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6">
          <cell r="C6" t="str">
            <v>Cơ cấu điều khiển quay trên khoang</v>
          </cell>
          <cell r="E6" t="str">
            <v>Flir</v>
          </cell>
          <cell r="F6" t="str">
            <v>PTU-5</v>
          </cell>
          <cell r="G6" t="str">
            <v>Newport</v>
          </cell>
          <cell r="H6" t="str">
            <v>FG-FCR100</v>
          </cell>
          <cell r="I6" t="str">
            <v>Vietes</v>
          </cell>
          <cell r="J6" t="str">
            <v>VES-ALS-360-SkyRFx1</v>
          </cell>
        </row>
        <row r="7">
          <cell r="C7" t="str">
            <v>Ăngten đẳng hướng trên khoang</v>
          </cell>
          <cell r="E7" t="str">
            <v>SouthWest Antenna</v>
          </cell>
          <cell r="F7" t="str">
            <v>2001-115</v>
          </cell>
          <cell r="G7" t="str">
            <v>MP antenna</v>
          </cell>
          <cell r="H7" t="str">
            <v>MPSL4400-6000</v>
          </cell>
          <cell r="I7" t="str">
            <v>Pasternack</v>
          </cell>
          <cell r="J7" t="str">
            <v>PE51135A</v>
          </cell>
        </row>
        <row r="8">
          <cell r="C8" t="str">
            <v>Ăng ten đa hướng trên khoang cho ULOS</v>
          </cell>
          <cell r="E8" t="str">
            <v xml:space="preserve">Cooper Antennas </v>
          </cell>
          <cell r="F8" t="str">
            <v>21-30-176</v>
          </cell>
          <cell r="G8" t="str">
            <v>Chelton</v>
          </cell>
          <cell r="H8" t="str">
            <v>12-231</v>
          </cell>
          <cell r="I8" t="str">
            <v>Sensor Systems</v>
          </cell>
          <cell r="J8" t="str">
            <v>S65-8282-512</v>
          </cell>
        </row>
        <row r="9">
          <cell r="C9" t="str">
            <v>Ăng ten đa hướng trên khoang cho COM-RELAY</v>
          </cell>
          <cell r="E9" t="str">
            <v xml:space="preserve">Cooper Antennas </v>
          </cell>
          <cell r="F9" t="str">
            <v>21-50-43</v>
          </cell>
          <cell r="G9" t="str">
            <v>Sensor Systems</v>
          </cell>
          <cell r="H9" t="str">
            <v>S65-8282-512</v>
          </cell>
          <cell r="I9" t="str">
            <v>Cobham</v>
          </cell>
          <cell r="J9" t="str">
            <v>12-190-310</v>
          </cell>
        </row>
        <row r="14">
          <cell r="C14" t="str">
            <v>Cơ cấu điều khiển quay mặt đất</v>
          </cell>
        </row>
        <row r="15">
          <cell r="C15" t="str">
            <v>Ăngten định hướng mặt đất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. DM HH "/>
      <sheetName val="1. Bo mạch"/>
      <sheetName val="1.1 CTKT mạch"/>
      <sheetName val="1.2.1 VT hàn lắp Clos ADT"/>
      <sheetName val="1.2.2 VT hàn lắp Ulos ADT"/>
      <sheetName val="1.2.3 VT hàn lắp COM Relay ADT"/>
      <sheetName val="1.2.4 VT hàn lắp ĐB ADT"/>
      <sheetName val="1.2.5 VT hàn lắp Clos GDT"/>
      <sheetName val="1.2.6 VT hàn lắp Ulos GDT"/>
      <sheetName val="1.2.7 VT hàn lắp ĐB GDT"/>
      <sheetName val="2. Danh mục CK"/>
      <sheetName val="3. Danh mục ĐBPK"/>
      <sheetName val="3.1 CTKT ĐBPK"/>
      <sheetName val="4. Danh muc BFIC"/>
      <sheetName val="4.1 CTKT BFIC"/>
      <sheetName val="5.TSCĐ Drone_PinDrone"/>
      <sheetName val="5.1.CTKT Drone_PinDrone"/>
      <sheetName val="BOM Tổng th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6">
          <cell r="C16" t="str">
            <v>Ăngten đẳng hướng mặt đất</v>
          </cell>
          <cell r="E16" t="str">
            <v>Antcom</v>
          </cell>
          <cell r="F16" t="str">
            <v>52W-4.40-5.85P-XS-2-X</v>
          </cell>
          <cell r="G16" t="str">
            <v>Cobham</v>
          </cell>
          <cell r="H16" t="str">
            <v>OA3-4.8V/1465</v>
          </cell>
          <cell r="I16" t="str">
            <v>MP Antenna</v>
          </cell>
          <cell r="J16" t="str">
            <v>08-ANT-1096-BL-C</v>
          </cell>
        </row>
      </sheetData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"/>
  <sheetViews>
    <sheetView tabSelected="1" zoomScale="70" zoomScaleNormal="70" workbookViewId="0">
      <selection activeCell="N17" sqref="N17"/>
    </sheetView>
  </sheetViews>
  <sheetFormatPr defaultRowHeight="18.75" x14ac:dyDescent="0.25"/>
  <cols>
    <col min="1" max="1" width="7.5703125" style="94" customWidth="1"/>
    <col min="2" max="2" width="37.42578125" style="94" customWidth="1"/>
    <col min="3" max="3" width="26" style="94" customWidth="1"/>
    <col min="4" max="4" width="25.140625" style="94" customWidth="1"/>
    <col min="5" max="5" width="30.5703125" style="94" customWidth="1"/>
    <col min="6" max="6" width="18.28515625" style="94" customWidth="1"/>
    <col min="7" max="7" width="38.140625" style="94" customWidth="1"/>
    <col min="8" max="8" width="15.7109375" style="94" customWidth="1"/>
    <col min="9" max="9" width="40.7109375" style="94" customWidth="1"/>
    <col min="10" max="10" width="15.7109375" style="94" customWidth="1"/>
  </cols>
  <sheetData>
    <row r="1" spans="1:10" ht="20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6.5" x14ac:dyDescent="0.25">
      <c r="A2" s="2" t="s">
        <v>1</v>
      </c>
      <c r="B2" s="2" t="s">
        <v>2</v>
      </c>
      <c r="C2" s="2"/>
      <c r="D2" s="2"/>
      <c r="E2" s="2" t="s">
        <v>3</v>
      </c>
      <c r="F2" s="2"/>
      <c r="G2" s="2"/>
      <c r="H2" s="2"/>
      <c r="I2" s="2"/>
      <c r="J2" s="2"/>
    </row>
    <row r="3" spans="1:10" ht="16.5" x14ac:dyDescent="0.25">
      <c r="A3" s="2"/>
      <c r="B3" s="2"/>
      <c r="C3" s="2"/>
      <c r="D3" s="2"/>
      <c r="E3" s="2" t="s">
        <v>4</v>
      </c>
      <c r="F3" s="2"/>
      <c r="G3" s="2" t="s">
        <v>5</v>
      </c>
      <c r="H3" s="2"/>
      <c r="I3" s="2" t="s">
        <v>6</v>
      </c>
      <c r="J3" s="2"/>
    </row>
    <row r="4" spans="1:10" ht="16.5" x14ac:dyDescent="0.25">
      <c r="A4" s="2"/>
      <c r="B4" s="3" t="s">
        <v>2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9</v>
      </c>
      <c r="H4" s="4" t="s">
        <v>10</v>
      </c>
      <c r="I4" s="4" t="s">
        <v>9</v>
      </c>
      <c r="J4" s="4" t="s">
        <v>10</v>
      </c>
    </row>
    <row r="5" spans="1:10" ht="16.5" x14ac:dyDescent="0.25">
      <c r="A5" s="5" t="s">
        <v>11</v>
      </c>
      <c r="B5" s="6" t="s">
        <v>12</v>
      </c>
      <c r="C5" s="6"/>
      <c r="D5" s="6"/>
      <c r="E5" s="6"/>
      <c r="F5" s="6"/>
      <c r="G5" s="6"/>
      <c r="H5" s="6"/>
      <c r="I5" s="6"/>
      <c r="J5" s="6"/>
    </row>
    <row r="6" spans="1:10" ht="16.5" x14ac:dyDescent="0.25">
      <c r="A6" s="7" t="s">
        <v>13</v>
      </c>
      <c r="B6" s="8" t="s">
        <v>14</v>
      </c>
      <c r="C6" s="8"/>
      <c r="D6" s="8"/>
      <c r="E6" s="8"/>
      <c r="F6" s="8"/>
      <c r="G6" s="8"/>
      <c r="H6" s="8"/>
      <c r="I6" s="8"/>
      <c r="J6" s="8"/>
    </row>
    <row r="7" spans="1:10" ht="16.5" x14ac:dyDescent="0.25">
      <c r="A7" s="9" t="s">
        <v>15</v>
      </c>
      <c r="B7" s="10" t="s">
        <v>16</v>
      </c>
      <c r="C7" s="10"/>
      <c r="D7" s="10"/>
      <c r="E7" s="10"/>
      <c r="F7" s="10"/>
      <c r="G7" s="10"/>
      <c r="H7" s="10"/>
      <c r="I7" s="10"/>
      <c r="J7" s="10"/>
    </row>
    <row r="8" spans="1:10" ht="33" x14ac:dyDescent="0.25">
      <c r="A8" s="11" t="s">
        <v>17</v>
      </c>
      <c r="B8" s="12" t="str">
        <f>'[1]3. Danh mục ĐBPK'!C6</f>
        <v>Cơ cấu điều khiển quay trên khoang</v>
      </c>
      <c r="C8" s="13"/>
      <c r="D8" s="14"/>
      <c r="E8" s="15" t="str">
        <f>"Mã NSX:"&amp;" "&amp;'[1]3. Danh mục ĐBPK'!F6&amp;CHAR(10)&amp;"Nhà sản xuất:"&amp;" "&amp;'[1]3. Danh mục ĐBPK'!E6</f>
        <v>Mã NSX: PTU-5
Nhà sản xuất: Flir</v>
      </c>
      <c r="F8" s="16"/>
      <c r="G8" s="15" t="str">
        <f>"Mã NSX:"&amp;" "&amp;'[1]3. Danh mục ĐBPK'!H6&amp;CHAR(10)&amp;"Nhà sản xuất:"&amp;" "&amp;'[1]3. Danh mục ĐBPK'!G6</f>
        <v>Mã NSX: FG-FCR100
Nhà sản xuất: Newport</v>
      </c>
      <c r="H8" s="16"/>
      <c r="I8" s="15" t="str">
        <f>"Mã NSX:"&amp;" "&amp;'[1]3. Danh mục ĐBPK'!J6&amp;CHAR(10)&amp;"Nhà sản xuất:"&amp;" "&amp;'[1]3. Danh mục ĐBPK'!I6</f>
        <v>Mã NSX: VES-ALS-360-SkyRFx1
Nhà sản xuất: Vietes</v>
      </c>
      <c r="J8" s="16"/>
    </row>
    <row r="9" spans="1:10" ht="16.5" x14ac:dyDescent="0.25">
      <c r="A9" s="17">
        <v>1</v>
      </c>
      <c r="B9" s="18" t="s">
        <v>18</v>
      </c>
      <c r="C9" s="19" t="s">
        <v>19</v>
      </c>
      <c r="D9" s="17" t="s">
        <v>20</v>
      </c>
      <c r="E9" s="20" t="s">
        <v>21</v>
      </c>
      <c r="F9" s="21" t="s">
        <v>22</v>
      </c>
      <c r="G9" s="20" t="s">
        <v>23</v>
      </c>
      <c r="H9" s="21" t="s">
        <v>22</v>
      </c>
      <c r="I9" s="20" t="s">
        <v>24</v>
      </c>
      <c r="J9" s="21" t="s">
        <v>22</v>
      </c>
    </row>
    <row r="10" spans="1:10" ht="16.5" x14ac:dyDescent="0.25">
      <c r="A10" s="17">
        <v>2</v>
      </c>
      <c r="B10" s="18" t="s">
        <v>25</v>
      </c>
      <c r="C10" s="19" t="s">
        <v>26</v>
      </c>
      <c r="D10" s="17" t="s">
        <v>20</v>
      </c>
      <c r="E10" s="22" t="s">
        <v>27</v>
      </c>
      <c r="F10" s="21" t="s">
        <v>22</v>
      </c>
      <c r="G10" s="23" t="s">
        <v>28</v>
      </c>
      <c r="H10" s="21" t="s">
        <v>22</v>
      </c>
      <c r="I10" s="20" t="s">
        <v>29</v>
      </c>
      <c r="J10" s="21" t="s">
        <v>22</v>
      </c>
    </row>
    <row r="11" spans="1:10" ht="16.5" x14ac:dyDescent="0.25">
      <c r="A11" s="17">
        <v>3</v>
      </c>
      <c r="B11" s="18" t="s">
        <v>30</v>
      </c>
      <c r="C11" s="19" t="s">
        <v>31</v>
      </c>
      <c r="D11" s="17" t="s">
        <v>20</v>
      </c>
      <c r="E11" s="24" t="s">
        <v>31</v>
      </c>
      <c r="F11" s="21" t="s">
        <v>22</v>
      </c>
      <c r="G11" s="24" t="s">
        <v>31</v>
      </c>
      <c r="H11" s="21" t="s">
        <v>22</v>
      </c>
      <c r="I11" s="24" t="s">
        <v>31</v>
      </c>
      <c r="J11" s="21" t="s">
        <v>22</v>
      </c>
    </row>
    <row r="12" spans="1:10" ht="16.5" x14ac:dyDescent="0.25">
      <c r="A12" s="17">
        <v>4</v>
      </c>
      <c r="B12" s="18" t="s">
        <v>32</v>
      </c>
      <c r="C12" s="25" t="s">
        <v>33</v>
      </c>
      <c r="D12" s="17" t="s">
        <v>20</v>
      </c>
      <c r="E12" s="20" t="s">
        <v>34</v>
      </c>
      <c r="F12" s="21" t="s">
        <v>22</v>
      </c>
      <c r="G12" s="22" t="s">
        <v>35</v>
      </c>
      <c r="H12" s="21" t="s">
        <v>22</v>
      </c>
      <c r="I12" s="26" t="s">
        <v>36</v>
      </c>
      <c r="J12" s="21" t="s">
        <v>22</v>
      </c>
    </row>
    <row r="13" spans="1:10" ht="33" x14ac:dyDescent="0.25">
      <c r="A13" s="17">
        <v>5</v>
      </c>
      <c r="B13" s="18" t="s">
        <v>37</v>
      </c>
      <c r="C13" s="25" t="s">
        <v>38</v>
      </c>
      <c r="D13" s="17" t="s">
        <v>20</v>
      </c>
      <c r="E13" s="20" t="s">
        <v>39</v>
      </c>
      <c r="F13" s="21" t="s">
        <v>22</v>
      </c>
      <c r="G13" s="20" t="s">
        <v>40</v>
      </c>
      <c r="H13" s="21" t="s">
        <v>22</v>
      </c>
      <c r="I13" s="27" t="s">
        <v>41</v>
      </c>
      <c r="J13" s="21" t="s">
        <v>22</v>
      </c>
    </row>
    <row r="14" spans="1:10" ht="17.25" x14ac:dyDescent="0.25">
      <c r="A14" s="17">
        <v>6</v>
      </c>
      <c r="B14" s="18" t="s">
        <v>42</v>
      </c>
      <c r="C14" s="19" t="s">
        <v>43</v>
      </c>
      <c r="D14" s="17" t="s">
        <v>20</v>
      </c>
      <c r="E14" s="20" t="s">
        <v>44</v>
      </c>
      <c r="F14" s="21" t="s">
        <v>22</v>
      </c>
      <c r="G14" s="28" t="s">
        <v>45</v>
      </c>
      <c r="H14" s="21" t="s">
        <v>22</v>
      </c>
      <c r="I14" s="22" t="s">
        <v>46</v>
      </c>
      <c r="J14" s="21" t="s">
        <v>22</v>
      </c>
    </row>
    <row r="15" spans="1:10" ht="16.5" x14ac:dyDescent="0.25">
      <c r="A15" s="17">
        <v>7</v>
      </c>
      <c r="B15" s="18" t="s">
        <v>47</v>
      </c>
      <c r="C15" s="25" t="s">
        <v>33</v>
      </c>
      <c r="D15" s="17" t="s">
        <v>20</v>
      </c>
      <c r="E15" s="20" t="s">
        <v>48</v>
      </c>
      <c r="F15" s="21" t="s">
        <v>22</v>
      </c>
      <c r="G15" s="27" t="s">
        <v>35</v>
      </c>
      <c r="H15" s="21" t="s">
        <v>22</v>
      </c>
      <c r="I15" s="22" t="s">
        <v>49</v>
      </c>
      <c r="J15" s="21" t="s">
        <v>22</v>
      </c>
    </row>
    <row r="16" spans="1:10" ht="16.5" x14ac:dyDescent="0.25">
      <c r="A16" s="17">
        <v>8</v>
      </c>
      <c r="B16" s="18" t="s">
        <v>50</v>
      </c>
      <c r="C16" s="25" t="s">
        <v>51</v>
      </c>
      <c r="D16" s="17" t="s">
        <v>20</v>
      </c>
      <c r="E16" s="20" t="s">
        <v>52</v>
      </c>
      <c r="F16" s="21" t="s">
        <v>22</v>
      </c>
      <c r="G16" s="20" t="s">
        <v>53</v>
      </c>
      <c r="H16" s="21" t="s">
        <v>22</v>
      </c>
      <c r="I16" s="22" t="s">
        <v>54</v>
      </c>
      <c r="J16" s="21" t="s">
        <v>22</v>
      </c>
    </row>
    <row r="17" spans="1:10" ht="51" customHeight="1" x14ac:dyDescent="0.25">
      <c r="A17" s="17">
        <v>9</v>
      </c>
      <c r="B17" s="18" t="s">
        <v>55</v>
      </c>
      <c r="C17" s="29" t="s">
        <v>56</v>
      </c>
      <c r="D17" s="30" t="s">
        <v>57</v>
      </c>
      <c r="E17" s="31"/>
      <c r="F17" s="32"/>
      <c r="G17" s="31"/>
      <c r="H17" s="32"/>
      <c r="I17" s="33" t="s">
        <v>58</v>
      </c>
      <c r="J17" s="21" t="s">
        <v>22</v>
      </c>
    </row>
    <row r="18" spans="1:10" ht="16.5" x14ac:dyDescent="0.25">
      <c r="A18" s="17">
        <v>10</v>
      </c>
      <c r="B18" s="18" t="s">
        <v>59</v>
      </c>
      <c r="C18" s="29" t="s">
        <v>60</v>
      </c>
      <c r="D18" s="17" t="s">
        <v>20</v>
      </c>
      <c r="E18" s="34" t="s">
        <v>61</v>
      </c>
      <c r="F18" s="21" t="s">
        <v>22</v>
      </c>
      <c r="G18" s="20" t="s">
        <v>62</v>
      </c>
      <c r="H18" s="21" t="s">
        <v>22</v>
      </c>
      <c r="I18" s="34" t="s">
        <v>63</v>
      </c>
      <c r="J18" s="21" t="s">
        <v>22</v>
      </c>
    </row>
    <row r="19" spans="1:10" ht="16.5" x14ac:dyDescent="0.25">
      <c r="A19" s="11" t="s">
        <v>64</v>
      </c>
      <c r="B19" s="12" t="str">
        <f>'[1]3. Danh mục ĐBPK'!C7</f>
        <v>Ăngten đẳng hướng trên khoang</v>
      </c>
      <c r="C19" s="13"/>
      <c r="D19" s="14"/>
      <c r="E19" s="35" t="str">
        <f>"Mã NSX:"&amp;" "&amp;'[1]3. Danh mục ĐBPK'!F7&amp;CHAR(10)&amp;"Nhà sản xuất:"&amp;" "&amp;'[1]3. Danh mục ĐBPK'!E7</f>
        <v>Mã NSX: 2001-115
Nhà sản xuất: SouthWest Antenna</v>
      </c>
      <c r="F19" s="36"/>
      <c r="G19" s="15" t="str">
        <f>"Mã NSX:"&amp;" "&amp;'[1]3. Danh mục ĐBPK'!H7&amp;CHAR(10)&amp;"Nhà sản xuất:"&amp;" "&amp;'[1]3. Danh mục ĐBPK'!G7</f>
        <v>Mã NSX: MPSL4400-6000
Nhà sản xuất: MP antenna</v>
      </c>
      <c r="H19" s="16"/>
      <c r="I19" s="15" t="str">
        <f>"Mã NSX:"&amp;" "&amp;'[1]3. Danh mục ĐBPK'!J7&amp;CHAR(10)&amp;"Nhà sản xuất:"&amp;" "&amp;'[1]3. Danh mục ĐBPK'!I7</f>
        <v>Mã NSX: PE51135A
Nhà sản xuất: Pasternack</v>
      </c>
      <c r="J19" s="16"/>
    </row>
    <row r="20" spans="1:10" ht="16.5" x14ac:dyDescent="0.25">
      <c r="A20" s="17">
        <v>1</v>
      </c>
      <c r="B20" s="37" t="s">
        <v>65</v>
      </c>
      <c r="C20" s="38" t="s">
        <v>66</v>
      </c>
      <c r="D20" s="39" t="s">
        <v>20</v>
      </c>
      <c r="E20" s="20" t="s">
        <v>66</v>
      </c>
      <c r="F20" s="21" t="s">
        <v>22</v>
      </c>
      <c r="G20" s="40" t="s">
        <v>67</v>
      </c>
      <c r="H20" s="41" t="s">
        <v>22</v>
      </c>
      <c r="I20" s="20" t="s">
        <v>66</v>
      </c>
      <c r="J20" s="21" t="s">
        <v>22</v>
      </c>
    </row>
    <row r="21" spans="1:10" ht="16.5" x14ac:dyDescent="0.25">
      <c r="A21" s="17">
        <v>2</v>
      </c>
      <c r="B21" s="37" t="s">
        <v>68</v>
      </c>
      <c r="C21" s="38" t="s">
        <v>69</v>
      </c>
      <c r="D21" s="39" t="s">
        <v>20</v>
      </c>
      <c r="E21" s="20" t="s">
        <v>70</v>
      </c>
      <c r="F21" s="21" t="s">
        <v>22</v>
      </c>
      <c r="G21" s="42" t="s">
        <v>71</v>
      </c>
      <c r="H21" s="41" t="s">
        <v>22</v>
      </c>
      <c r="I21" s="43">
        <v>8.4027777777777785E-2</v>
      </c>
      <c r="J21" s="21" t="s">
        <v>22</v>
      </c>
    </row>
    <row r="22" spans="1:10" ht="16.5" x14ac:dyDescent="0.25">
      <c r="A22" s="17">
        <v>3</v>
      </c>
      <c r="B22" s="37" t="s">
        <v>72</v>
      </c>
      <c r="C22" s="38" t="s">
        <v>73</v>
      </c>
      <c r="D22" s="39" t="s">
        <v>20</v>
      </c>
      <c r="E22" s="20" t="s">
        <v>74</v>
      </c>
      <c r="F22" s="21" t="s">
        <v>22</v>
      </c>
      <c r="G22" s="44" t="s">
        <v>75</v>
      </c>
      <c r="H22" s="41" t="s">
        <v>22</v>
      </c>
      <c r="I22" s="20" t="s">
        <v>74</v>
      </c>
      <c r="J22" s="21" t="s">
        <v>22</v>
      </c>
    </row>
    <row r="23" spans="1:10" ht="33" x14ac:dyDescent="0.25">
      <c r="A23" s="17">
        <v>4</v>
      </c>
      <c r="B23" s="37" t="s">
        <v>76</v>
      </c>
      <c r="C23" s="38" t="s">
        <v>77</v>
      </c>
      <c r="D23" s="39" t="s">
        <v>20</v>
      </c>
      <c r="E23" s="20" t="s">
        <v>78</v>
      </c>
      <c r="F23" s="21" t="s">
        <v>22</v>
      </c>
      <c r="G23" s="45" t="s">
        <v>79</v>
      </c>
      <c r="H23" s="41" t="s">
        <v>22</v>
      </c>
      <c r="I23" s="20" t="s">
        <v>78</v>
      </c>
      <c r="J23" s="21" t="s">
        <v>22</v>
      </c>
    </row>
    <row r="24" spans="1:10" ht="49.5" x14ac:dyDescent="0.25">
      <c r="A24" s="17">
        <v>5</v>
      </c>
      <c r="B24" s="46" t="s">
        <v>80</v>
      </c>
      <c r="C24" s="38" t="s">
        <v>81</v>
      </c>
      <c r="D24" s="39" t="s">
        <v>20</v>
      </c>
      <c r="E24" s="20" t="s">
        <v>81</v>
      </c>
      <c r="F24" s="21" t="s">
        <v>22</v>
      </c>
      <c r="G24" s="40" t="s">
        <v>81</v>
      </c>
      <c r="H24" s="41" t="s">
        <v>22</v>
      </c>
      <c r="I24" s="20" t="s">
        <v>81</v>
      </c>
      <c r="J24" s="21" t="s">
        <v>22</v>
      </c>
    </row>
    <row r="25" spans="1:10" ht="49.5" x14ac:dyDescent="0.25">
      <c r="A25" s="17">
        <v>6</v>
      </c>
      <c r="B25" s="46" t="s">
        <v>82</v>
      </c>
      <c r="C25" s="38" t="s">
        <v>83</v>
      </c>
      <c r="D25" s="39" t="s">
        <v>20</v>
      </c>
      <c r="E25" s="20" t="s">
        <v>84</v>
      </c>
      <c r="F25" s="21" t="s">
        <v>22</v>
      </c>
      <c r="G25" s="47" t="s">
        <v>85</v>
      </c>
      <c r="H25" s="48" t="s">
        <v>22</v>
      </c>
      <c r="I25" s="20" t="s">
        <v>84</v>
      </c>
      <c r="J25" s="21" t="s">
        <v>22</v>
      </c>
    </row>
    <row r="26" spans="1:10" ht="16.5" x14ac:dyDescent="0.25">
      <c r="A26" s="17">
        <v>7</v>
      </c>
      <c r="B26" s="37" t="s">
        <v>86</v>
      </c>
      <c r="C26" s="38" t="s">
        <v>87</v>
      </c>
      <c r="D26" s="39" t="s">
        <v>20</v>
      </c>
      <c r="E26" s="20" t="s">
        <v>88</v>
      </c>
      <c r="F26" s="21" t="s">
        <v>22</v>
      </c>
      <c r="G26" s="40" t="s">
        <v>88</v>
      </c>
      <c r="H26" s="48" t="s">
        <v>22</v>
      </c>
      <c r="I26" s="20" t="s">
        <v>88</v>
      </c>
      <c r="J26" s="21" t="s">
        <v>22</v>
      </c>
    </row>
    <row r="27" spans="1:10" ht="16.5" x14ac:dyDescent="0.25">
      <c r="A27" s="17">
        <v>8</v>
      </c>
      <c r="B27" s="37" t="s">
        <v>89</v>
      </c>
      <c r="C27" s="38" t="s">
        <v>90</v>
      </c>
      <c r="D27" s="39" t="s">
        <v>20</v>
      </c>
      <c r="E27" s="20" t="s">
        <v>91</v>
      </c>
      <c r="F27" s="21" t="s">
        <v>22</v>
      </c>
      <c r="G27" s="47" t="s">
        <v>92</v>
      </c>
      <c r="H27" s="48" t="s">
        <v>22</v>
      </c>
      <c r="I27" s="20" t="s">
        <v>93</v>
      </c>
      <c r="J27" s="21" t="s">
        <v>22</v>
      </c>
    </row>
    <row r="28" spans="1:10" ht="16.5" x14ac:dyDescent="0.25">
      <c r="A28" s="17">
        <v>9</v>
      </c>
      <c r="B28" s="37" t="s">
        <v>94</v>
      </c>
      <c r="C28" s="49" t="s">
        <v>95</v>
      </c>
      <c r="D28" s="39" t="s">
        <v>20</v>
      </c>
      <c r="E28" s="50" t="s">
        <v>95</v>
      </c>
      <c r="F28" s="51" t="s">
        <v>22</v>
      </c>
      <c r="G28" s="52" t="s">
        <v>95</v>
      </c>
      <c r="H28" s="48" t="s">
        <v>22</v>
      </c>
      <c r="I28" s="50" t="s">
        <v>95</v>
      </c>
      <c r="J28" s="51" t="s">
        <v>22</v>
      </c>
    </row>
    <row r="29" spans="1:10" ht="33" x14ac:dyDescent="0.25">
      <c r="A29" s="11" t="s">
        <v>96</v>
      </c>
      <c r="B29" s="12" t="str">
        <f>'[1]3. Danh mục ĐBPK'!C8</f>
        <v>Ăng ten đa hướng trên khoang cho ULOS</v>
      </c>
      <c r="C29" s="13"/>
      <c r="D29" s="14"/>
      <c r="E29" s="15" t="str">
        <f>"Mã NSX:"&amp;" "&amp;'[1]3. Danh mục ĐBPK'!F8&amp;CHAR(10)&amp;"Nhà sản xuất:"&amp;" "&amp;'[1]3. Danh mục ĐBPK'!E8</f>
        <v xml:space="preserve">Mã NSX: 21-30-176
Nhà sản xuất: Cooper Antennas </v>
      </c>
      <c r="F29" s="16"/>
      <c r="G29" s="15" t="str">
        <f>"Mã NSX:"&amp;" "&amp;'[1]3. Danh mục ĐBPK'!H8&amp;CHAR(10)&amp;"Nhà sản xuất:"&amp;" "&amp;'[1]3. Danh mục ĐBPK'!G8</f>
        <v>Mã NSX: 12-231
Nhà sản xuất: Chelton</v>
      </c>
      <c r="H29" s="16"/>
      <c r="I29" s="15" t="str">
        <f>"Mã NSX:"&amp;" "&amp;'[1]3. Danh mục ĐBPK'!J8&amp;CHAR(10)&amp;"Nhà sản xuất:"&amp;" "&amp;'[1]3. Danh mục ĐBPK'!I8</f>
        <v>Mã NSX: S65-8282-512
Nhà sản xuất: Sensor Systems</v>
      </c>
      <c r="J29" s="16"/>
    </row>
    <row r="30" spans="1:10" ht="16.5" x14ac:dyDescent="0.25">
      <c r="A30" s="39">
        <v>1</v>
      </c>
      <c r="B30" s="46" t="s">
        <v>97</v>
      </c>
      <c r="C30" s="33" t="s">
        <v>98</v>
      </c>
      <c r="D30" s="39" t="s">
        <v>20</v>
      </c>
      <c r="E30" s="20" t="s">
        <v>99</v>
      </c>
      <c r="F30" s="21" t="s">
        <v>22</v>
      </c>
      <c r="G30" s="20" t="s">
        <v>100</v>
      </c>
      <c r="H30" s="51" t="s">
        <v>22</v>
      </c>
      <c r="I30" s="20" t="s">
        <v>101</v>
      </c>
      <c r="J30" s="51" t="s">
        <v>22</v>
      </c>
    </row>
    <row r="31" spans="1:10" ht="16.5" x14ac:dyDescent="0.25">
      <c r="A31" s="39">
        <v>2</v>
      </c>
      <c r="B31" s="46" t="s">
        <v>102</v>
      </c>
      <c r="C31" s="33" t="s">
        <v>103</v>
      </c>
      <c r="D31" s="39" t="s">
        <v>20</v>
      </c>
      <c r="E31" s="20" t="s">
        <v>103</v>
      </c>
      <c r="F31" s="21" t="s">
        <v>22</v>
      </c>
      <c r="G31" s="20" t="s">
        <v>103</v>
      </c>
      <c r="H31" s="21" t="s">
        <v>22</v>
      </c>
      <c r="I31" s="20" t="s">
        <v>103</v>
      </c>
      <c r="J31" s="21" t="s">
        <v>22</v>
      </c>
    </row>
    <row r="32" spans="1:10" ht="33" x14ac:dyDescent="0.25">
      <c r="A32" s="39">
        <v>3</v>
      </c>
      <c r="B32" s="46" t="s">
        <v>68</v>
      </c>
      <c r="C32" s="33" t="s">
        <v>104</v>
      </c>
      <c r="D32" s="39" t="s">
        <v>20</v>
      </c>
      <c r="E32" s="53" t="s">
        <v>105</v>
      </c>
      <c r="F32" s="21" t="s">
        <v>22</v>
      </c>
      <c r="G32" s="20" t="s">
        <v>106</v>
      </c>
      <c r="H32" s="51" t="s">
        <v>22</v>
      </c>
      <c r="I32" s="20" t="s">
        <v>107</v>
      </c>
      <c r="J32" s="51" t="s">
        <v>22</v>
      </c>
    </row>
    <row r="33" spans="1:10" ht="33" x14ac:dyDescent="0.25">
      <c r="A33" s="39">
        <v>4</v>
      </c>
      <c r="B33" s="46" t="s">
        <v>108</v>
      </c>
      <c r="C33" s="33" t="s">
        <v>109</v>
      </c>
      <c r="D33" s="39" t="s">
        <v>20</v>
      </c>
      <c r="E33" s="54" t="s">
        <v>110</v>
      </c>
      <c r="F33" s="21" t="s">
        <v>22</v>
      </c>
      <c r="G33" s="55" t="s">
        <v>111</v>
      </c>
      <c r="H33" s="51" t="s">
        <v>22</v>
      </c>
      <c r="I33" s="56" t="s">
        <v>112</v>
      </c>
      <c r="J33" s="51" t="s">
        <v>22</v>
      </c>
    </row>
    <row r="34" spans="1:10" ht="16.5" x14ac:dyDescent="0.25">
      <c r="A34" s="39">
        <v>5</v>
      </c>
      <c r="B34" s="46" t="s">
        <v>113</v>
      </c>
      <c r="C34" s="33" t="s">
        <v>114</v>
      </c>
      <c r="D34" s="39" t="s">
        <v>20</v>
      </c>
      <c r="E34" s="20" t="s">
        <v>115</v>
      </c>
      <c r="F34" s="21" t="s">
        <v>22</v>
      </c>
      <c r="G34" s="20" t="s">
        <v>115</v>
      </c>
      <c r="H34" s="51" t="s">
        <v>22</v>
      </c>
      <c r="I34" s="20" t="s">
        <v>115</v>
      </c>
      <c r="J34" s="51" t="s">
        <v>22</v>
      </c>
    </row>
    <row r="35" spans="1:10" ht="33" x14ac:dyDescent="0.25">
      <c r="A35" s="39">
        <v>6</v>
      </c>
      <c r="B35" s="46" t="s">
        <v>116</v>
      </c>
      <c r="C35" s="33" t="s">
        <v>117</v>
      </c>
      <c r="D35" s="39" t="s">
        <v>20</v>
      </c>
      <c r="E35" s="20" t="s">
        <v>117</v>
      </c>
      <c r="F35" s="21" t="s">
        <v>22</v>
      </c>
      <c r="G35" s="20" t="s">
        <v>117</v>
      </c>
      <c r="H35" s="51" t="s">
        <v>22</v>
      </c>
      <c r="I35" s="20" t="s">
        <v>117</v>
      </c>
      <c r="J35" s="51" t="s">
        <v>22</v>
      </c>
    </row>
    <row r="36" spans="1:10" ht="16.5" x14ac:dyDescent="0.25">
      <c r="A36" s="39">
        <v>7</v>
      </c>
      <c r="B36" s="46" t="s">
        <v>118</v>
      </c>
      <c r="C36" s="33" t="s">
        <v>119</v>
      </c>
      <c r="D36" s="39" t="s">
        <v>20</v>
      </c>
      <c r="E36" s="20" t="s">
        <v>119</v>
      </c>
      <c r="F36" s="21" t="s">
        <v>22</v>
      </c>
      <c r="G36" s="20" t="s">
        <v>119</v>
      </c>
      <c r="H36" s="51" t="s">
        <v>22</v>
      </c>
      <c r="I36" s="20" t="s">
        <v>119</v>
      </c>
      <c r="J36" s="51" t="s">
        <v>22</v>
      </c>
    </row>
    <row r="37" spans="1:10" ht="16.5" x14ac:dyDescent="0.25">
      <c r="A37" s="39">
        <v>8</v>
      </c>
      <c r="B37" s="46" t="s">
        <v>86</v>
      </c>
      <c r="C37" s="33" t="s">
        <v>120</v>
      </c>
      <c r="D37" s="39" t="s">
        <v>20</v>
      </c>
      <c r="E37" s="20" t="s">
        <v>121</v>
      </c>
      <c r="F37" s="21" t="s">
        <v>22</v>
      </c>
      <c r="G37" s="20" t="s">
        <v>122</v>
      </c>
      <c r="H37" s="51" t="s">
        <v>22</v>
      </c>
      <c r="I37" s="20" t="s">
        <v>121</v>
      </c>
      <c r="J37" s="51" t="s">
        <v>22</v>
      </c>
    </row>
    <row r="38" spans="1:10" ht="33" x14ac:dyDescent="0.25">
      <c r="A38" s="39">
        <v>9</v>
      </c>
      <c r="B38" s="46" t="s">
        <v>123</v>
      </c>
      <c r="C38" s="33" t="s">
        <v>124</v>
      </c>
      <c r="D38" s="39" t="s">
        <v>20</v>
      </c>
      <c r="E38" s="31" t="s">
        <v>125</v>
      </c>
      <c r="F38" s="57" t="s">
        <v>22</v>
      </c>
      <c r="G38" s="58" t="s">
        <v>126</v>
      </c>
      <c r="H38" s="51" t="s">
        <v>22</v>
      </c>
      <c r="I38" s="20" t="s">
        <v>127</v>
      </c>
      <c r="J38" s="51" t="s">
        <v>22</v>
      </c>
    </row>
    <row r="39" spans="1:10" ht="16.5" x14ac:dyDescent="0.25">
      <c r="A39" s="39">
        <v>10</v>
      </c>
      <c r="B39" s="46" t="s">
        <v>128</v>
      </c>
      <c r="C39" s="59" t="s">
        <v>129</v>
      </c>
      <c r="D39" s="39" t="s">
        <v>20</v>
      </c>
      <c r="E39" s="60" t="s">
        <v>130</v>
      </c>
      <c r="F39" s="21" t="s">
        <v>22</v>
      </c>
      <c r="G39" s="50" t="s">
        <v>131</v>
      </c>
      <c r="H39" s="51" t="s">
        <v>22</v>
      </c>
      <c r="I39" s="50" t="s">
        <v>132</v>
      </c>
      <c r="J39" s="51" t="s">
        <v>22</v>
      </c>
    </row>
    <row r="40" spans="1:10" ht="33" x14ac:dyDescent="0.25">
      <c r="A40" s="39">
        <v>11</v>
      </c>
      <c r="B40" s="46" t="s">
        <v>133</v>
      </c>
      <c r="C40" s="59" t="s">
        <v>134</v>
      </c>
      <c r="D40" s="39" t="s">
        <v>20</v>
      </c>
      <c r="E40" s="61" t="s">
        <v>135</v>
      </c>
      <c r="F40" s="21" t="s">
        <v>22</v>
      </c>
      <c r="G40" s="62" t="s">
        <v>136</v>
      </c>
      <c r="H40" s="51" t="s">
        <v>22</v>
      </c>
      <c r="I40" s="50" t="s">
        <v>136</v>
      </c>
      <c r="J40" s="51" t="s">
        <v>22</v>
      </c>
    </row>
    <row r="41" spans="1:10" ht="33" x14ac:dyDescent="0.25">
      <c r="A41" s="11" t="s">
        <v>137</v>
      </c>
      <c r="B41" s="12" t="str">
        <f>'[1]3. Danh mục ĐBPK'!C9</f>
        <v>Ăng ten đa hướng trên khoang cho COM-RELAY</v>
      </c>
      <c r="C41" s="13"/>
      <c r="D41" s="14"/>
      <c r="E41" s="15" t="str">
        <f>"Mã NSX:"&amp;" "&amp;'[1]3. Danh mục ĐBPK'!F9&amp;CHAR(10)&amp;"Nhà sản xuất:"&amp;" "&amp;'[1]3. Danh mục ĐBPK'!E9</f>
        <v xml:space="preserve">Mã NSX: 21-50-43
Nhà sản xuất: Cooper Antennas </v>
      </c>
      <c r="F41" s="16"/>
      <c r="G41" s="15" t="str">
        <f>"Mã NSX:"&amp;" "&amp;'[1]3. Danh mục ĐBPK'!H9&amp;CHAR(10)&amp;"Nhà sản xuất:"&amp;" "&amp;'[1]3. Danh mục ĐBPK'!G9</f>
        <v>Mã NSX: S65-8282-512
Nhà sản xuất: Sensor Systems</v>
      </c>
      <c r="H41" s="16"/>
      <c r="I41" s="15" t="str">
        <f>"Mã NSX:"&amp;" "&amp;'[1]3. Danh mục ĐBPK'!J9&amp;CHAR(10)&amp;"Nhà sản xuất:"&amp;" "&amp;'[1]3. Danh mục ĐBPK'!I9</f>
        <v>Mã NSX: 12-190-310
Nhà sản xuất: Cobham</v>
      </c>
      <c r="J41" s="16"/>
    </row>
    <row r="42" spans="1:10" ht="33" x14ac:dyDescent="0.25">
      <c r="A42" s="39">
        <v>1</v>
      </c>
      <c r="B42" s="46" t="s">
        <v>65</v>
      </c>
      <c r="C42" s="63" t="s">
        <v>138</v>
      </c>
      <c r="D42" s="39" t="s">
        <v>20</v>
      </c>
      <c r="E42" s="20" t="s">
        <v>139</v>
      </c>
      <c r="F42" s="21" t="s">
        <v>22</v>
      </c>
      <c r="G42" s="33" t="s">
        <v>140</v>
      </c>
      <c r="H42" s="51" t="s">
        <v>22</v>
      </c>
      <c r="I42" s="20" t="s">
        <v>141</v>
      </c>
      <c r="J42" s="51" t="s">
        <v>22</v>
      </c>
    </row>
    <row r="43" spans="1:10" ht="33" x14ac:dyDescent="0.25">
      <c r="A43" s="39">
        <v>2</v>
      </c>
      <c r="B43" s="46" t="s">
        <v>68</v>
      </c>
      <c r="C43" s="33" t="s">
        <v>142</v>
      </c>
      <c r="D43" s="39" t="s">
        <v>20</v>
      </c>
      <c r="E43" s="53" t="s">
        <v>142</v>
      </c>
      <c r="F43" s="21" t="s">
        <v>22</v>
      </c>
      <c r="G43" s="20" t="s">
        <v>143</v>
      </c>
      <c r="H43" s="51" t="s">
        <v>22</v>
      </c>
      <c r="I43" s="20" t="s">
        <v>144</v>
      </c>
      <c r="J43" s="51" t="s">
        <v>22</v>
      </c>
    </row>
    <row r="44" spans="1:10" ht="33" x14ac:dyDescent="0.25">
      <c r="A44" s="39">
        <v>3</v>
      </c>
      <c r="B44" s="46" t="s">
        <v>145</v>
      </c>
      <c r="C44" s="33" t="s">
        <v>146</v>
      </c>
      <c r="D44" s="39" t="s">
        <v>20</v>
      </c>
      <c r="E44" s="20" t="s">
        <v>147</v>
      </c>
      <c r="F44" s="21" t="s">
        <v>22</v>
      </c>
      <c r="G44" s="54" t="s">
        <v>148</v>
      </c>
      <c r="H44" s="64" t="s">
        <v>22</v>
      </c>
      <c r="I44" s="20" t="s">
        <v>149</v>
      </c>
      <c r="J44" s="51" t="s">
        <v>22</v>
      </c>
    </row>
    <row r="45" spans="1:10" ht="16.5" x14ac:dyDescent="0.25">
      <c r="A45" s="39">
        <v>4</v>
      </c>
      <c r="B45" s="46" t="s">
        <v>113</v>
      </c>
      <c r="C45" s="33" t="s">
        <v>150</v>
      </c>
      <c r="D45" s="39" t="s">
        <v>20</v>
      </c>
      <c r="E45" s="20" t="s">
        <v>115</v>
      </c>
      <c r="F45" s="21" t="s">
        <v>22</v>
      </c>
      <c r="G45" s="20" t="s">
        <v>151</v>
      </c>
      <c r="H45" s="51" t="s">
        <v>22</v>
      </c>
      <c r="I45" s="20" t="s">
        <v>115</v>
      </c>
      <c r="J45" s="51" t="s">
        <v>22</v>
      </c>
    </row>
    <row r="46" spans="1:10" ht="33" x14ac:dyDescent="0.25">
      <c r="A46" s="39">
        <v>5</v>
      </c>
      <c r="B46" s="46" t="s">
        <v>116</v>
      </c>
      <c r="C46" s="33" t="s">
        <v>117</v>
      </c>
      <c r="D46" s="39" t="s">
        <v>20</v>
      </c>
      <c r="E46" s="20" t="s">
        <v>117</v>
      </c>
      <c r="F46" s="21" t="s">
        <v>22</v>
      </c>
      <c r="G46" s="20" t="s">
        <v>117</v>
      </c>
      <c r="H46" s="51" t="s">
        <v>22</v>
      </c>
      <c r="I46" s="20" t="s">
        <v>117</v>
      </c>
      <c r="J46" s="51" t="s">
        <v>22</v>
      </c>
    </row>
    <row r="47" spans="1:10" ht="16.5" x14ac:dyDescent="0.25">
      <c r="A47" s="39">
        <v>6</v>
      </c>
      <c r="B47" s="46" t="s">
        <v>118</v>
      </c>
      <c r="C47" s="33" t="s">
        <v>119</v>
      </c>
      <c r="D47" s="39" t="s">
        <v>20</v>
      </c>
      <c r="E47" s="20" t="s">
        <v>119</v>
      </c>
      <c r="F47" s="21" t="s">
        <v>22</v>
      </c>
      <c r="G47" s="20" t="s">
        <v>119</v>
      </c>
      <c r="H47" s="51" t="s">
        <v>22</v>
      </c>
      <c r="I47" s="20" t="s">
        <v>119</v>
      </c>
      <c r="J47" s="51" t="s">
        <v>22</v>
      </c>
    </row>
    <row r="48" spans="1:10" ht="16.5" x14ac:dyDescent="0.25">
      <c r="A48" s="39">
        <v>7</v>
      </c>
      <c r="B48" s="46" t="s">
        <v>86</v>
      </c>
      <c r="C48" s="33" t="s">
        <v>152</v>
      </c>
      <c r="D48" s="39" t="s">
        <v>20</v>
      </c>
      <c r="E48" s="20" t="s">
        <v>88</v>
      </c>
      <c r="F48" s="21" t="s">
        <v>22</v>
      </c>
      <c r="G48" s="20" t="s">
        <v>153</v>
      </c>
      <c r="H48" s="51" t="s">
        <v>22</v>
      </c>
      <c r="I48" s="23" t="s">
        <v>154</v>
      </c>
      <c r="J48" s="51" t="s">
        <v>22</v>
      </c>
    </row>
    <row r="49" spans="1:10" ht="16.5" x14ac:dyDescent="0.25">
      <c r="A49" s="39">
        <v>8</v>
      </c>
      <c r="B49" s="46" t="s">
        <v>155</v>
      </c>
      <c r="C49" s="33" t="s">
        <v>156</v>
      </c>
      <c r="D49" s="39" t="s">
        <v>20</v>
      </c>
      <c r="E49" s="20" t="s">
        <v>157</v>
      </c>
      <c r="F49" s="21" t="s">
        <v>22</v>
      </c>
      <c r="G49" s="20" t="s">
        <v>158</v>
      </c>
      <c r="H49" s="51" t="s">
        <v>22</v>
      </c>
      <c r="I49" s="20" t="s">
        <v>159</v>
      </c>
      <c r="J49" s="51" t="s">
        <v>22</v>
      </c>
    </row>
    <row r="50" spans="1:10" ht="16.5" x14ac:dyDescent="0.25">
      <c r="A50" s="39">
        <v>9</v>
      </c>
      <c r="B50" s="46" t="s">
        <v>128</v>
      </c>
      <c r="C50" s="59" t="s">
        <v>160</v>
      </c>
      <c r="D50" s="39" t="s">
        <v>20</v>
      </c>
      <c r="E50" s="20" t="s">
        <v>161</v>
      </c>
      <c r="F50" s="21" t="s">
        <v>22</v>
      </c>
      <c r="G50" s="50" t="s">
        <v>162</v>
      </c>
      <c r="H50" s="51" t="s">
        <v>22</v>
      </c>
      <c r="I50" s="50" t="s">
        <v>163</v>
      </c>
      <c r="J50" s="51" t="s">
        <v>22</v>
      </c>
    </row>
    <row r="51" spans="1:10" ht="16.5" x14ac:dyDescent="0.25">
      <c r="A51" s="39">
        <v>10</v>
      </c>
      <c r="B51" s="46" t="s">
        <v>133</v>
      </c>
      <c r="C51" s="59" t="s">
        <v>164</v>
      </c>
      <c r="D51" s="39" t="s">
        <v>20</v>
      </c>
      <c r="E51" s="50" t="s">
        <v>165</v>
      </c>
      <c r="F51" s="21" t="s">
        <v>22</v>
      </c>
      <c r="G51" s="60" t="s">
        <v>136</v>
      </c>
      <c r="H51" s="65" t="s">
        <v>22</v>
      </c>
      <c r="I51" s="50" t="s">
        <v>136</v>
      </c>
      <c r="J51" s="51" t="s">
        <v>22</v>
      </c>
    </row>
    <row r="52" spans="1:10" ht="16.5" x14ac:dyDescent="0.25">
      <c r="A52" s="66" t="s">
        <v>166</v>
      </c>
      <c r="B52" s="67" t="s">
        <v>167</v>
      </c>
      <c r="C52" s="66"/>
      <c r="D52" s="66"/>
      <c r="E52" s="68" t="s">
        <v>168</v>
      </c>
      <c r="F52" s="69"/>
      <c r="G52" s="68" t="s">
        <v>169</v>
      </c>
      <c r="H52" s="69"/>
      <c r="I52" s="68" t="s">
        <v>170</v>
      </c>
      <c r="J52" s="69"/>
    </row>
    <row r="53" spans="1:10" ht="16.5" x14ac:dyDescent="0.25">
      <c r="A53" s="39">
        <v>1</v>
      </c>
      <c r="B53" s="37" t="s">
        <v>97</v>
      </c>
      <c r="C53" s="38" t="s">
        <v>171</v>
      </c>
      <c r="D53" s="39" t="s">
        <v>172</v>
      </c>
      <c r="E53" s="20" t="s">
        <v>66</v>
      </c>
      <c r="F53" s="21" t="s">
        <v>22</v>
      </c>
      <c r="G53" s="20" t="s">
        <v>173</v>
      </c>
      <c r="H53" s="21" t="s">
        <v>22</v>
      </c>
      <c r="I53" s="20" t="s">
        <v>66</v>
      </c>
      <c r="J53" s="21" t="s">
        <v>22</v>
      </c>
    </row>
    <row r="54" spans="1:10" ht="16.5" x14ac:dyDescent="0.25">
      <c r="A54" s="39">
        <v>2</v>
      </c>
      <c r="B54" s="37" t="s">
        <v>68</v>
      </c>
      <c r="C54" s="38" t="s">
        <v>174</v>
      </c>
      <c r="D54" s="39" t="s">
        <v>20</v>
      </c>
      <c r="E54" s="20" t="s">
        <v>175</v>
      </c>
      <c r="F54" s="21" t="s">
        <v>22</v>
      </c>
      <c r="G54" s="20" t="s">
        <v>175</v>
      </c>
      <c r="H54" s="21" t="s">
        <v>22</v>
      </c>
      <c r="I54" s="20" t="s">
        <v>175</v>
      </c>
      <c r="J54" s="21" t="s">
        <v>22</v>
      </c>
    </row>
    <row r="55" spans="1:10" ht="16.5" x14ac:dyDescent="0.25">
      <c r="A55" s="39">
        <v>3</v>
      </c>
      <c r="B55" s="37" t="s">
        <v>176</v>
      </c>
      <c r="C55" s="23" t="s">
        <v>177</v>
      </c>
      <c r="D55" s="39" t="s">
        <v>20</v>
      </c>
      <c r="E55" s="20" t="s">
        <v>178</v>
      </c>
      <c r="F55" s="21" t="s">
        <v>22</v>
      </c>
      <c r="G55" s="20" t="s">
        <v>179</v>
      </c>
      <c r="H55" s="21" t="s">
        <v>22</v>
      </c>
      <c r="I55" s="20" t="s">
        <v>178</v>
      </c>
      <c r="J55" s="21" t="s">
        <v>22</v>
      </c>
    </row>
    <row r="56" spans="1:10" ht="16.5" x14ac:dyDescent="0.25">
      <c r="A56" s="39">
        <v>4</v>
      </c>
      <c r="B56" s="37" t="s">
        <v>76</v>
      </c>
      <c r="C56" s="23" t="s">
        <v>180</v>
      </c>
      <c r="D56" s="39" t="s">
        <v>20</v>
      </c>
      <c r="E56" s="20" t="s">
        <v>180</v>
      </c>
      <c r="F56" s="21" t="s">
        <v>22</v>
      </c>
      <c r="G56" s="20" t="s">
        <v>180</v>
      </c>
      <c r="H56" s="21" t="s">
        <v>22</v>
      </c>
      <c r="I56" s="20" t="s">
        <v>180</v>
      </c>
      <c r="J56" s="21" t="s">
        <v>22</v>
      </c>
    </row>
    <row r="57" spans="1:10" ht="33" x14ac:dyDescent="0.25">
      <c r="A57" s="39">
        <v>5</v>
      </c>
      <c r="B57" s="37" t="s">
        <v>86</v>
      </c>
      <c r="C57" s="38" t="s">
        <v>181</v>
      </c>
      <c r="D57" s="39" t="s">
        <v>20</v>
      </c>
      <c r="E57" s="20" t="s">
        <v>182</v>
      </c>
      <c r="F57" s="21" t="s">
        <v>22</v>
      </c>
      <c r="G57" s="38" t="s">
        <v>183</v>
      </c>
      <c r="H57" s="57" t="s">
        <v>22</v>
      </c>
      <c r="I57" s="38" t="s">
        <v>184</v>
      </c>
      <c r="J57" s="21" t="s">
        <v>22</v>
      </c>
    </row>
    <row r="58" spans="1:10" ht="16.5" x14ac:dyDescent="0.25">
      <c r="A58" s="39">
        <v>6</v>
      </c>
      <c r="B58" s="37" t="s">
        <v>89</v>
      </c>
      <c r="C58" s="23" t="s">
        <v>185</v>
      </c>
      <c r="D58" s="39" t="s">
        <v>20</v>
      </c>
      <c r="E58" s="20" t="s">
        <v>186</v>
      </c>
      <c r="F58" s="21" t="s">
        <v>22</v>
      </c>
      <c r="G58" s="20" t="s">
        <v>187</v>
      </c>
      <c r="H58" s="21" t="s">
        <v>22</v>
      </c>
      <c r="I58" s="20" t="s">
        <v>188</v>
      </c>
      <c r="J58" s="21" t="s">
        <v>22</v>
      </c>
    </row>
    <row r="59" spans="1:10" ht="16.5" x14ac:dyDescent="0.25">
      <c r="A59" s="39">
        <v>7</v>
      </c>
      <c r="B59" s="37" t="s">
        <v>189</v>
      </c>
      <c r="C59" s="23" t="s">
        <v>190</v>
      </c>
      <c r="D59" s="39" t="s">
        <v>20</v>
      </c>
      <c r="E59" s="20" t="s">
        <v>191</v>
      </c>
      <c r="F59" s="21" t="s">
        <v>22</v>
      </c>
      <c r="G59" s="20" t="s">
        <v>192</v>
      </c>
      <c r="H59" s="21" t="s">
        <v>22</v>
      </c>
      <c r="I59" s="20" t="s">
        <v>193</v>
      </c>
      <c r="J59" s="21" t="s">
        <v>22</v>
      </c>
    </row>
    <row r="60" spans="1:10" ht="16.5" x14ac:dyDescent="0.25">
      <c r="A60" s="39">
        <v>8</v>
      </c>
      <c r="B60" s="37" t="s">
        <v>194</v>
      </c>
      <c r="C60" s="38" t="s">
        <v>195</v>
      </c>
      <c r="D60" s="39" t="s">
        <v>20</v>
      </c>
      <c r="E60" s="20" t="s">
        <v>196</v>
      </c>
      <c r="F60" s="21" t="s">
        <v>22</v>
      </c>
      <c r="G60" s="20" t="s">
        <v>196</v>
      </c>
      <c r="H60" s="21" t="s">
        <v>22</v>
      </c>
      <c r="I60" s="20" t="s">
        <v>196</v>
      </c>
      <c r="J60" s="21" t="s">
        <v>22</v>
      </c>
    </row>
    <row r="61" spans="1:10" ht="16.5" x14ac:dyDescent="0.25">
      <c r="A61" s="39">
        <v>9</v>
      </c>
      <c r="B61" s="37" t="s">
        <v>94</v>
      </c>
      <c r="C61" s="49" t="s">
        <v>197</v>
      </c>
      <c r="D61" s="39" t="s">
        <v>20</v>
      </c>
      <c r="E61" s="50" t="s">
        <v>198</v>
      </c>
      <c r="F61" s="51" t="s">
        <v>22</v>
      </c>
      <c r="G61" s="50" t="s">
        <v>198</v>
      </c>
      <c r="H61" s="51" t="s">
        <v>22</v>
      </c>
      <c r="I61" s="50" t="s">
        <v>198</v>
      </c>
      <c r="J61" s="51" t="s">
        <v>22</v>
      </c>
    </row>
    <row r="62" spans="1:10" ht="16.5" x14ac:dyDescent="0.25">
      <c r="A62" s="5" t="s">
        <v>199</v>
      </c>
      <c r="B62" s="6" t="s">
        <v>200</v>
      </c>
      <c r="C62" s="6"/>
      <c r="D62" s="6"/>
      <c r="E62" s="6"/>
      <c r="F62" s="6"/>
      <c r="G62" s="6"/>
      <c r="H62" s="6"/>
      <c r="I62" s="6"/>
      <c r="J62" s="6"/>
    </row>
    <row r="63" spans="1:10" ht="16.5" x14ac:dyDescent="0.25">
      <c r="A63" s="7" t="s">
        <v>201</v>
      </c>
      <c r="B63" s="8" t="s">
        <v>14</v>
      </c>
      <c r="C63" s="8"/>
      <c r="D63" s="8"/>
      <c r="E63" s="8"/>
      <c r="F63" s="8"/>
      <c r="G63" s="8"/>
      <c r="H63" s="8"/>
      <c r="I63" s="8"/>
      <c r="J63" s="8"/>
    </row>
    <row r="64" spans="1:10" ht="16.5" x14ac:dyDescent="0.25">
      <c r="A64" s="9" t="s">
        <v>15</v>
      </c>
      <c r="B64" s="10" t="s">
        <v>202</v>
      </c>
      <c r="C64" s="10"/>
      <c r="D64" s="10"/>
      <c r="E64" s="10"/>
      <c r="F64" s="10"/>
      <c r="G64" s="10"/>
      <c r="H64" s="10"/>
      <c r="I64" s="10"/>
      <c r="J64" s="10"/>
    </row>
    <row r="65" spans="1:10" ht="16.5" x14ac:dyDescent="0.25">
      <c r="A65" s="11" t="s">
        <v>17</v>
      </c>
      <c r="B65" s="12" t="str">
        <f>'[1]3. Danh mục ĐBPK'!C14</f>
        <v>Cơ cấu điều khiển quay mặt đất</v>
      </c>
      <c r="C65" s="13"/>
      <c r="D65" s="14"/>
      <c r="E65" s="15" t="s">
        <v>203</v>
      </c>
      <c r="F65" s="16"/>
      <c r="G65" s="15" t="s">
        <v>204</v>
      </c>
      <c r="H65" s="16"/>
      <c r="I65" s="15" t="s">
        <v>205</v>
      </c>
      <c r="J65" s="16"/>
    </row>
    <row r="66" spans="1:10" ht="16.5" x14ac:dyDescent="0.25">
      <c r="A66" s="17">
        <v>1</v>
      </c>
      <c r="B66" s="37" t="s">
        <v>206</v>
      </c>
      <c r="C66" s="70">
        <v>2</v>
      </c>
      <c r="D66" s="39" t="s">
        <v>20</v>
      </c>
      <c r="E66" s="20">
        <v>2</v>
      </c>
      <c r="F66" s="20" t="s">
        <v>22</v>
      </c>
      <c r="G66" s="20">
        <v>2</v>
      </c>
      <c r="H66" s="21" t="s">
        <v>22</v>
      </c>
      <c r="I66" s="20">
        <v>2</v>
      </c>
      <c r="J66" s="21" t="s">
        <v>22</v>
      </c>
    </row>
    <row r="67" spans="1:10" ht="16.5" x14ac:dyDescent="0.25">
      <c r="A67" s="17">
        <v>2</v>
      </c>
      <c r="B67" s="37" t="s">
        <v>207</v>
      </c>
      <c r="C67" s="70" t="s">
        <v>208</v>
      </c>
      <c r="D67" s="39" t="s">
        <v>20</v>
      </c>
      <c r="E67" s="20" t="s">
        <v>209</v>
      </c>
      <c r="F67" s="20" t="s">
        <v>22</v>
      </c>
      <c r="G67" s="20" t="s">
        <v>210</v>
      </c>
      <c r="H67" s="21" t="s">
        <v>22</v>
      </c>
      <c r="I67" s="20" t="s">
        <v>211</v>
      </c>
      <c r="J67" s="21" t="s">
        <v>22</v>
      </c>
    </row>
    <row r="68" spans="1:10" ht="16.5" x14ac:dyDescent="0.25">
      <c r="A68" s="17">
        <v>3</v>
      </c>
      <c r="B68" s="37" t="s">
        <v>212</v>
      </c>
      <c r="C68" s="71" t="s">
        <v>31</v>
      </c>
      <c r="D68" s="39" t="s">
        <v>20</v>
      </c>
      <c r="E68" s="72" t="s">
        <v>31</v>
      </c>
      <c r="F68" s="20" t="s">
        <v>22</v>
      </c>
      <c r="G68" s="72" t="s">
        <v>31</v>
      </c>
      <c r="H68" s="21" t="s">
        <v>22</v>
      </c>
      <c r="I68" s="72" t="s">
        <v>31</v>
      </c>
      <c r="J68" s="21" t="s">
        <v>22</v>
      </c>
    </row>
    <row r="69" spans="1:10" ht="16.5" x14ac:dyDescent="0.25">
      <c r="A69" s="17">
        <v>4</v>
      </c>
      <c r="B69" s="37" t="s">
        <v>213</v>
      </c>
      <c r="C69" s="71" t="s">
        <v>214</v>
      </c>
      <c r="D69" s="39" t="s">
        <v>20</v>
      </c>
      <c r="E69" s="20" t="s">
        <v>215</v>
      </c>
      <c r="F69" s="20" t="s">
        <v>22</v>
      </c>
      <c r="G69" s="54" t="s">
        <v>216</v>
      </c>
      <c r="H69" s="21" t="s">
        <v>22</v>
      </c>
      <c r="I69" s="54" t="s">
        <v>217</v>
      </c>
      <c r="J69" s="21" t="s">
        <v>22</v>
      </c>
    </row>
    <row r="70" spans="1:10" ht="16.5" x14ac:dyDescent="0.25">
      <c r="A70" s="17">
        <v>5</v>
      </c>
      <c r="B70" s="37" t="s">
        <v>218</v>
      </c>
      <c r="C70" s="70" t="s">
        <v>51</v>
      </c>
      <c r="D70" s="39" t="s">
        <v>20</v>
      </c>
      <c r="E70" s="20" t="s">
        <v>219</v>
      </c>
      <c r="F70" s="20" t="s">
        <v>22</v>
      </c>
      <c r="G70" s="20" t="s">
        <v>220</v>
      </c>
      <c r="H70" s="21" t="s">
        <v>22</v>
      </c>
      <c r="I70" s="20" t="s">
        <v>220</v>
      </c>
      <c r="J70" s="21" t="s">
        <v>22</v>
      </c>
    </row>
    <row r="71" spans="1:10" ht="16.5" x14ac:dyDescent="0.25">
      <c r="A71" s="17">
        <v>6</v>
      </c>
      <c r="B71" s="37" t="s">
        <v>221</v>
      </c>
      <c r="C71" s="70" t="s">
        <v>51</v>
      </c>
      <c r="D71" s="39" t="s">
        <v>20</v>
      </c>
      <c r="E71" s="20" t="s">
        <v>219</v>
      </c>
      <c r="F71" s="20" t="s">
        <v>22</v>
      </c>
      <c r="G71" s="20" t="s">
        <v>222</v>
      </c>
      <c r="H71" s="21" t="s">
        <v>22</v>
      </c>
      <c r="I71" s="20" t="s">
        <v>222</v>
      </c>
      <c r="J71" s="21" t="s">
        <v>22</v>
      </c>
    </row>
    <row r="72" spans="1:10" ht="16.5" x14ac:dyDescent="0.25">
      <c r="A72" s="17">
        <v>7</v>
      </c>
      <c r="B72" s="37" t="s">
        <v>223</v>
      </c>
      <c r="C72" s="73" t="s">
        <v>224</v>
      </c>
      <c r="D72" s="39" t="s">
        <v>20</v>
      </c>
      <c r="E72" s="74" t="s">
        <v>225</v>
      </c>
      <c r="F72" s="20" t="s">
        <v>22</v>
      </c>
      <c r="G72" s="73" t="s">
        <v>226</v>
      </c>
      <c r="H72" s="21" t="s">
        <v>22</v>
      </c>
      <c r="I72" s="60" t="s">
        <v>34</v>
      </c>
      <c r="J72" s="21" t="s">
        <v>22</v>
      </c>
    </row>
    <row r="73" spans="1:10" ht="16.5" x14ac:dyDescent="0.25">
      <c r="A73" s="17">
        <v>8</v>
      </c>
      <c r="B73" s="37" t="s">
        <v>227</v>
      </c>
      <c r="C73" s="73" t="s">
        <v>224</v>
      </c>
      <c r="D73" s="39" t="s">
        <v>20</v>
      </c>
      <c r="E73" s="74" t="s">
        <v>225</v>
      </c>
      <c r="F73" s="20" t="s">
        <v>22</v>
      </c>
      <c r="G73" s="75" t="s">
        <v>228</v>
      </c>
      <c r="H73" s="21" t="s">
        <v>22</v>
      </c>
      <c r="I73" s="60" t="s">
        <v>34</v>
      </c>
      <c r="J73" s="21" t="s">
        <v>22</v>
      </c>
    </row>
    <row r="74" spans="1:10" ht="16.5" x14ac:dyDescent="0.25">
      <c r="A74" s="17">
        <v>9</v>
      </c>
      <c r="B74" s="76" t="s">
        <v>55</v>
      </c>
      <c r="C74" s="77" t="s">
        <v>229</v>
      </c>
      <c r="D74" s="30" t="s">
        <v>57</v>
      </c>
      <c r="E74" s="77" t="s">
        <v>230</v>
      </c>
      <c r="F74" s="20" t="s">
        <v>22</v>
      </c>
      <c r="G74" s="78" t="s">
        <v>15</v>
      </c>
      <c r="H74" s="79"/>
      <c r="I74" s="80" t="s">
        <v>230</v>
      </c>
      <c r="J74" s="21" t="s">
        <v>22</v>
      </c>
    </row>
    <row r="75" spans="1:10" ht="16.5" x14ac:dyDescent="0.25">
      <c r="A75" s="17">
        <v>10</v>
      </c>
      <c r="B75" s="37" t="s">
        <v>189</v>
      </c>
      <c r="C75" s="73" t="s">
        <v>231</v>
      </c>
      <c r="D75" s="39" t="s">
        <v>20</v>
      </c>
      <c r="E75" s="20" t="s">
        <v>232</v>
      </c>
      <c r="F75" s="20" t="s">
        <v>22</v>
      </c>
      <c r="G75" s="20" t="s">
        <v>233</v>
      </c>
      <c r="H75" s="21" t="s">
        <v>22</v>
      </c>
      <c r="I75" s="20" t="s">
        <v>234</v>
      </c>
      <c r="J75" s="21" t="s">
        <v>22</v>
      </c>
    </row>
    <row r="76" spans="1:10" ht="33" x14ac:dyDescent="0.25">
      <c r="A76" s="17">
        <v>11</v>
      </c>
      <c r="B76" s="37" t="s">
        <v>235</v>
      </c>
      <c r="C76" s="61" t="s">
        <v>236</v>
      </c>
      <c r="D76" s="39" t="s">
        <v>20</v>
      </c>
      <c r="E76" s="23" t="s">
        <v>237</v>
      </c>
      <c r="F76" s="50" t="s">
        <v>22</v>
      </c>
      <c r="G76" s="81" t="s">
        <v>238</v>
      </c>
      <c r="H76" s="21" t="s">
        <v>22</v>
      </c>
      <c r="I76" s="23" t="s">
        <v>239</v>
      </c>
      <c r="J76" s="51" t="s">
        <v>22</v>
      </c>
    </row>
    <row r="77" spans="1:10" ht="16.5" x14ac:dyDescent="0.25">
      <c r="A77" s="17">
        <v>12</v>
      </c>
      <c r="B77" s="76" t="s">
        <v>240</v>
      </c>
      <c r="C77" s="82" t="s">
        <v>241</v>
      </c>
      <c r="D77" s="39" t="s">
        <v>20</v>
      </c>
      <c r="E77" s="50" t="s">
        <v>242</v>
      </c>
      <c r="F77" s="50" t="s">
        <v>22</v>
      </c>
      <c r="G77" s="83" t="s">
        <v>242</v>
      </c>
      <c r="H77" s="21" t="s">
        <v>22</v>
      </c>
      <c r="I77" s="72" t="s">
        <v>242</v>
      </c>
      <c r="J77" s="84" t="s">
        <v>22</v>
      </c>
    </row>
    <row r="78" spans="1:10" ht="16.5" x14ac:dyDescent="0.25">
      <c r="A78" s="11" t="s">
        <v>64</v>
      </c>
      <c r="B78" s="12" t="str">
        <f>'[1]3. Danh mục ĐBPK'!C15</f>
        <v>Ăngten định hướng mặt đất</v>
      </c>
      <c r="C78" s="13"/>
      <c r="D78" s="14"/>
      <c r="E78" s="15" t="s">
        <v>243</v>
      </c>
      <c r="F78" s="16"/>
      <c r="G78" s="15" t="s">
        <v>244</v>
      </c>
      <c r="H78" s="16"/>
      <c r="I78" s="15" t="s">
        <v>245</v>
      </c>
      <c r="J78" s="16"/>
    </row>
    <row r="79" spans="1:10" ht="16.5" x14ac:dyDescent="0.25">
      <c r="A79" s="17">
        <v>1</v>
      </c>
      <c r="B79" s="85" t="s">
        <v>65</v>
      </c>
      <c r="C79" s="33" t="s">
        <v>66</v>
      </c>
      <c r="D79" s="39" t="s">
        <v>20</v>
      </c>
      <c r="E79" s="20" t="s">
        <v>246</v>
      </c>
      <c r="F79" s="21" t="s">
        <v>22</v>
      </c>
      <c r="G79" s="20" t="s">
        <v>247</v>
      </c>
      <c r="H79" s="51" t="s">
        <v>22</v>
      </c>
      <c r="I79" s="20" t="s">
        <v>246</v>
      </c>
      <c r="J79" s="51" t="s">
        <v>22</v>
      </c>
    </row>
    <row r="80" spans="1:10" ht="16.5" x14ac:dyDescent="0.25">
      <c r="A80" s="17">
        <v>2</v>
      </c>
      <c r="B80" s="85" t="s">
        <v>248</v>
      </c>
      <c r="C80" s="33" t="s">
        <v>249</v>
      </c>
      <c r="D80" s="17" t="s">
        <v>20</v>
      </c>
      <c r="E80" s="20" t="s">
        <v>249</v>
      </c>
      <c r="F80" s="51" t="s">
        <v>22</v>
      </c>
      <c r="G80" s="20" t="s">
        <v>249</v>
      </c>
      <c r="H80" s="51" t="s">
        <v>22</v>
      </c>
      <c r="I80" s="20" t="s">
        <v>249</v>
      </c>
      <c r="J80" s="51" t="s">
        <v>22</v>
      </c>
    </row>
    <row r="81" spans="1:10" ht="16.5" x14ac:dyDescent="0.25">
      <c r="A81" s="17">
        <v>3</v>
      </c>
      <c r="B81" s="85" t="s">
        <v>68</v>
      </c>
      <c r="C81" s="33" t="s">
        <v>250</v>
      </c>
      <c r="D81" s="39" t="s">
        <v>20</v>
      </c>
      <c r="E81" s="20" t="s">
        <v>251</v>
      </c>
      <c r="F81" s="21" t="s">
        <v>22</v>
      </c>
      <c r="G81" s="86" t="s">
        <v>251</v>
      </c>
      <c r="H81" s="51" t="s">
        <v>22</v>
      </c>
      <c r="I81" s="53" t="s">
        <v>252</v>
      </c>
      <c r="J81" s="51" t="s">
        <v>22</v>
      </c>
    </row>
    <row r="82" spans="1:10" ht="16.5" x14ac:dyDescent="0.25">
      <c r="A82" s="17">
        <v>4</v>
      </c>
      <c r="B82" s="85" t="s">
        <v>253</v>
      </c>
      <c r="C82" s="59" t="s">
        <v>254</v>
      </c>
      <c r="D82" s="39" t="s">
        <v>20</v>
      </c>
      <c r="E82" s="20" t="s">
        <v>255</v>
      </c>
      <c r="F82" s="21" t="s">
        <v>22</v>
      </c>
      <c r="G82" s="50" t="s">
        <v>256</v>
      </c>
      <c r="H82" s="51" t="s">
        <v>22</v>
      </c>
      <c r="I82" s="50" t="s">
        <v>257</v>
      </c>
      <c r="J82" s="51" t="s">
        <v>22</v>
      </c>
    </row>
    <row r="83" spans="1:10" ht="16.5" x14ac:dyDescent="0.25">
      <c r="A83" s="17">
        <v>5</v>
      </c>
      <c r="B83" s="85" t="s">
        <v>76</v>
      </c>
      <c r="C83" s="33" t="s">
        <v>258</v>
      </c>
      <c r="D83" s="39" t="s">
        <v>20</v>
      </c>
      <c r="E83" s="20" t="s">
        <v>258</v>
      </c>
      <c r="F83" s="21" t="s">
        <v>22</v>
      </c>
      <c r="G83" s="54" t="s">
        <v>258</v>
      </c>
      <c r="H83" s="51" t="s">
        <v>22</v>
      </c>
      <c r="I83" s="54" t="s">
        <v>258</v>
      </c>
      <c r="J83" s="51" t="s">
        <v>22</v>
      </c>
    </row>
    <row r="84" spans="1:10" ht="49.5" x14ac:dyDescent="0.25">
      <c r="A84" s="17">
        <v>6</v>
      </c>
      <c r="B84" s="46" t="s">
        <v>80</v>
      </c>
      <c r="C84" s="38" t="s">
        <v>259</v>
      </c>
      <c r="D84" s="39" t="s">
        <v>20</v>
      </c>
      <c r="E84" s="20" t="s">
        <v>260</v>
      </c>
      <c r="F84" s="21" t="s">
        <v>22</v>
      </c>
      <c r="G84" s="20" t="s">
        <v>261</v>
      </c>
      <c r="H84" s="51" t="s">
        <v>22</v>
      </c>
      <c r="I84" s="20" t="s">
        <v>262</v>
      </c>
      <c r="J84" s="51" t="s">
        <v>22</v>
      </c>
    </row>
    <row r="85" spans="1:10" ht="49.5" x14ac:dyDescent="0.25">
      <c r="A85" s="17">
        <v>7</v>
      </c>
      <c r="B85" s="46" t="s">
        <v>82</v>
      </c>
      <c r="C85" s="38" t="s">
        <v>259</v>
      </c>
      <c r="D85" s="39" t="s">
        <v>20</v>
      </c>
      <c r="E85" s="20" t="s">
        <v>260</v>
      </c>
      <c r="F85" s="21" t="s">
        <v>22</v>
      </c>
      <c r="G85" s="20" t="s">
        <v>261</v>
      </c>
      <c r="H85" s="51" t="s">
        <v>22</v>
      </c>
      <c r="I85" s="20" t="s">
        <v>262</v>
      </c>
      <c r="J85" s="51" t="s">
        <v>22</v>
      </c>
    </row>
    <row r="86" spans="1:10" ht="16.5" x14ac:dyDescent="0.25">
      <c r="A86" s="17">
        <v>8</v>
      </c>
      <c r="B86" s="37" t="s">
        <v>263</v>
      </c>
      <c r="C86" s="38" t="s">
        <v>264</v>
      </c>
      <c r="D86" s="39" t="s">
        <v>20</v>
      </c>
      <c r="E86" s="54" t="s">
        <v>265</v>
      </c>
      <c r="F86" s="21" t="s">
        <v>22</v>
      </c>
      <c r="G86" s="50" t="s">
        <v>266</v>
      </c>
      <c r="H86" s="51" t="s">
        <v>22</v>
      </c>
      <c r="I86" s="20" t="s">
        <v>267</v>
      </c>
      <c r="J86" s="51" t="s">
        <v>22</v>
      </c>
    </row>
    <row r="87" spans="1:10" ht="16.5" x14ac:dyDescent="0.25">
      <c r="A87" s="17">
        <v>9</v>
      </c>
      <c r="B87" s="37" t="s">
        <v>189</v>
      </c>
      <c r="C87" s="38" t="s">
        <v>268</v>
      </c>
      <c r="D87" s="39" t="s">
        <v>20</v>
      </c>
      <c r="E87" s="20" t="s">
        <v>269</v>
      </c>
      <c r="F87" s="21" t="s">
        <v>22</v>
      </c>
      <c r="G87" s="50" t="s">
        <v>270</v>
      </c>
      <c r="H87" s="51" t="s">
        <v>22</v>
      </c>
      <c r="I87" s="50" t="s">
        <v>271</v>
      </c>
      <c r="J87" s="51" t="s">
        <v>22</v>
      </c>
    </row>
    <row r="88" spans="1:10" ht="16.5" x14ac:dyDescent="0.25">
      <c r="A88" s="17">
        <v>10</v>
      </c>
      <c r="B88" s="37" t="s">
        <v>272</v>
      </c>
      <c r="C88" s="38" t="s">
        <v>273</v>
      </c>
      <c r="D88" s="30" t="s">
        <v>57</v>
      </c>
      <c r="E88" s="20" t="s">
        <v>274</v>
      </c>
      <c r="F88" s="21" t="s">
        <v>22</v>
      </c>
      <c r="G88" s="87" t="s">
        <v>275</v>
      </c>
      <c r="H88" s="21" t="s">
        <v>22</v>
      </c>
      <c r="I88" s="88" t="s">
        <v>15</v>
      </c>
      <c r="J88" s="89"/>
    </row>
    <row r="89" spans="1:10" ht="16.5" x14ac:dyDescent="0.25">
      <c r="A89" s="11" t="s">
        <v>96</v>
      </c>
      <c r="B89" s="12" t="str">
        <f>'[2]3. Danh mục ĐBPK'!C16</f>
        <v>Ăngten đẳng hướng mặt đất</v>
      </c>
      <c r="C89" s="13"/>
      <c r="D89" s="14"/>
      <c r="E89" s="15" t="str">
        <f>"Mã NSX:"&amp;" "&amp;'[2]3. Danh mục ĐBPK'!F16&amp;CHAR(10)&amp;"Nhà sản xuất:"&amp;" "&amp;'[2]3. Danh mục ĐBPK'!E16</f>
        <v>Mã NSX: 52W-4.40-5.85P-XS-2-X
Nhà sản xuất: Antcom</v>
      </c>
      <c r="F89" s="16"/>
      <c r="G89" s="15" t="str">
        <f>"Mã NSX:"&amp;" "&amp;'[2]3. Danh mục ĐBPK'!H16&amp;CHAR(10)&amp;"Nhà sản xuất:"&amp;" "&amp;'[2]3. Danh mục ĐBPK'!G16</f>
        <v>Mã NSX: OA3-4.8V/1465
Nhà sản xuất: Cobham</v>
      </c>
      <c r="H89" s="16"/>
      <c r="I89" s="15" t="str">
        <f>"Mã NSX:"&amp;" "&amp;'[2]3. Danh mục ĐBPK'!J16&amp;CHAR(10)&amp;"Nhà sản xuất:"&amp;" "&amp;'[2]3. Danh mục ĐBPK'!I16</f>
        <v>Mã NSX: 08-ANT-1096-BL-C
Nhà sản xuất: MP Antenna</v>
      </c>
      <c r="J89" s="16"/>
    </row>
    <row r="90" spans="1:10" ht="16.5" x14ac:dyDescent="0.25">
      <c r="A90" s="17">
        <v>1</v>
      </c>
      <c r="B90" s="37" t="s">
        <v>97</v>
      </c>
      <c r="C90" s="38" t="s">
        <v>171</v>
      </c>
      <c r="D90" s="39" t="s">
        <v>20</v>
      </c>
      <c r="E90" s="20" t="s">
        <v>276</v>
      </c>
      <c r="F90" s="21" t="s">
        <v>22</v>
      </c>
      <c r="G90" s="20" t="s">
        <v>277</v>
      </c>
      <c r="H90" s="21" t="s">
        <v>22</v>
      </c>
      <c r="I90" s="20" t="s">
        <v>66</v>
      </c>
      <c r="J90" s="21" t="s">
        <v>22</v>
      </c>
    </row>
    <row r="91" spans="1:10" ht="49.5" x14ac:dyDescent="0.25">
      <c r="A91" s="17">
        <v>2</v>
      </c>
      <c r="B91" s="37" t="s">
        <v>68</v>
      </c>
      <c r="C91" s="38" t="s">
        <v>174</v>
      </c>
      <c r="D91" s="39" t="s">
        <v>20</v>
      </c>
      <c r="E91" s="20" t="s">
        <v>278</v>
      </c>
      <c r="F91" s="21" t="s">
        <v>22</v>
      </c>
      <c r="G91" s="31" t="s">
        <v>279</v>
      </c>
      <c r="H91" s="21" t="s">
        <v>22</v>
      </c>
      <c r="I91" s="38" t="s">
        <v>280</v>
      </c>
      <c r="J91" s="51" t="s">
        <v>22</v>
      </c>
    </row>
    <row r="92" spans="1:10" ht="16.5" x14ac:dyDescent="0.25">
      <c r="A92" s="17">
        <v>3</v>
      </c>
      <c r="B92" s="37" t="s">
        <v>72</v>
      </c>
      <c r="C92" s="38" t="s">
        <v>281</v>
      </c>
      <c r="D92" s="39" t="s">
        <v>20</v>
      </c>
      <c r="E92" s="20" t="s">
        <v>282</v>
      </c>
      <c r="F92" s="21" t="s">
        <v>22</v>
      </c>
      <c r="G92" s="20" t="s">
        <v>283</v>
      </c>
      <c r="H92" s="21" t="s">
        <v>22</v>
      </c>
      <c r="I92" s="20" t="s">
        <v>284</v>
      </c>
      <c r="J92" s="21" t="s">
        <v>22</v>
      </c>
    </row>
    <row r="93" spans="1:10" ht="16.5" x14ac:dyDescent="0.25">
      <c r="A93" s="17">
        <v>4</v>
      </c>
      <c r="B93" s="37" t="s">
        <v>76</v>
      </c>
      <c r="C93" s="38" t="s">
        <v>77</v>
      </c>
      <c r="D93" s="39" t="s">
        <v>20</v>
      </c>
      <c r="E93" s="20" t="s">
        <v>78</v>
      </c>
      <c r="F93" s="21" t="s">
        <v>22</v>
      </c>
      <c r="G93" s="20" t="s">
        <v>78</v>
      </c>
      <c r="H93" s="21" t="s">
        <v>22</v>
      </c>
      <c r="I93" s="20" t="s">
        <v>285</v>
      </c>
      <c r="J93" s="21" t="s">
        <v>22</v>
      </c>
    </row>
    <row r="94" spans="1:10" ht="33" x14ac:dyDescent="0.25">
      <c r="A94" s="17">
        <v>5</v>
      </c>
      <c r="B94" s="37" t="s">
        <v>86</v>
      </c>
      <c r="C94" s="38" t="s">
        <v>286</v>
      </c>
      <c r="D94" s="39" t="s">
        <v>20</v>
      </c>
      <c r="E94" s="20" t="s">
        <v>122</v>
      </c>
      <c r="F94" s="21" t="s">
        <v>22</v>
      </c>
      <c r="G94" s="31" t="s">
        <v>287</v>
      </c>
      <c r="H94" s="21" t="s">
        <v>22</v>
      </c>
      <c r="I94" s="31" t="s">
        <v>122</v>
      </c>
      <c r="J94" s="57" t="s">
        <v>22</v>
      </c>
    </row>
    <row r="95" spans="1:10" ht="33" x14ac:dyDescent="0.25">
      <c r="A95" s="17">
        <v>6</v>
      </c>
      <c r="B95" s="37" t="s">
        <v>89</v>
      </c>
      <c r="C95" s="38" t="s">
        <v>288</v>
      </c>
      <c r="D95" s="39" t="s">
        <v>20</v>
      </c>
      <c r="E95" s="20" t="s">
        <v>289</v>
      </c>
      <c r="F95" s="21" t="s">
        <v>22</v>
      </c>
      <c r="G95" s="38" t="s">
        <v>290</v>
      </c>
      <c r="H95" s="21" t="s">
        <v>22</v>
      </c>
      <c r="I95" s="31" t="s">
        <v>291</v>
      </c>
      <c r="J95" s="57" t="s">
        <v>22</v>
      </c>
    </row>
    <row r="96" spans="1:10" ht="16.5" x14ac:dyDescent="0.25">
      <c r="A96" s="17">
        <v>7</v>
      </c>
      <c r="B96" s="37" t="s">
        <v>189</v>
      </c>
      <c r="C96" s="38" t="s">
        <v>292</v>
      </c>
      <c r="D96" s="39" t="s">
        <v>20</v>
      </c>
      <c r="E96" s="20" t="s">
        <v>293</v>
      </c>
      <c r="F96" s="21" t="s">
        <v>22</v>
      </c>
      <c r="G96" s="31" t="s">
        <v>294</v>
      </c>
      <c r="H96" s="21" t="s">
        <v>22</v>
      </c>
      <c r="I96" s="31" t="s">
        <v>295</v>
      </c>
      <c r="J96" s="57" t="s">
        <v>22</v>
      </c>
    </row>
    <row r="97" spans="1:10" ht="66" x14ac:dyDescent="0.25">
      <c r="A97" s="17">
        <v>8</v>
      </c>
      <c r="B97" s="37" t="s">
        <v>194</v>
      </c>
      <c r="C97" s="38" t="s">
        <v>195</v>
      </c>
      <c r="D97" s="39" t="s">
        <v>20</v>
      </c>
      <c r="E97" s="38" t="s">
        <v>296</v>
      </c>
      <c r="F97" s="21" t="s">
        <v>22</v>
      </c>
      <c r="G97" s="20" t="s">
        <v>297</v>
      </c>
      <c r="H97" s="21" t="s">
        <v>22</v>
      </c>
      <c r="I97" s="38" t="s">
        <v>298</v>
      </c>
      <c r="J97" s="51" t="s">
        <v>22</v>
      </c>
    </row>
    <row r="98" spans="1:10" ht="16.5" x14ac:dyDescent="0.25">
      <c r="A98" s="17">
        <v>9</v>
      </c>
      <c r="B98" s="37" t="s">
        <v>94</v>
      </c>
      <c r="C98" s="49" t="s">
        <v>299</v>
      </c>
      <c r="D98" s="39" t="s">
        <v>20</v>
      </c>
      <c r="E98" s="50" t="s">
        <v>300</v>
      </c>
      <c r="F98" s="51" t="s">
        <v>22</v>
      </c>
      <c r="G98" s="50" t="s">
        <v>95</v>
      </c>
      <c r="H98" s="51" t="s">
        <v>22</v>
      </c>
      <c r="I98" s="50" t="s">
        <v>95</v>
      </c>
      <c r="J98" s="51" t="s">
        <v>22</v>
      </c>
    </row>
    <row r="99" spans="1:10" ht="33" x14ac:dyDescent="0.25">
      <c r="A99" s="11" t="s">
        <v>137</v>
      </c>
      <c r="B99" s="12" t="s">
        <v>301</v>
      </c>
      <c r="C99" s="13"/>
      <c r="D99" s="14"/>
      <c r="E99" s="15" t="s">
        <v>302</v>
      </c>
      <c r="F99" s="16"/>
      <c r="G99" s="15" t="s">
        <v>303</v>
      </c>
      <c r="H99" s="16"/>
      <c r="I99" s="15" t="s">
        <v>304</v>
      </c>
      <c r="J99" s="16"/>
    </row>
    <row r="100" spans="1:10" ht="16.5" x14ac:dyDescent="0.25">
      <c r="A100" s="39">
        <v>1</v>
      </c>
      <c r="B100" s="46" t="s">
        <v>97</v>
      </c>
      <c r="C100" s="33" t="s">
        <v>98</v>
      </c>
      <c r="D100" s="39" t="s">
        <v>20</v>
      </c>
      <c r="E100" s="20" t="s">
        <v>305</v>
      </c>
      <c r="F100" s="21" t="s">
        <v>22</v>
      </c>
      <c r="G100" s="20" t="s">
        <v>306</v>
      </c>
      <c r="H100" s="51" t="s">
        <v>22</v>
      </c>
      <c r="I100" s="20" t="s">
        <v>305</v>
      </c>
      <c r="J100" s="51" t="s">
        <v>22</v>
      </c>
    </row>
    <row r="101" spans="1:10" ht="16.5" x14ac:dyDescent="0.25">
      <c r="A101" s="39">
        <v>2</v>
      </c>
      <c r="B101" s="46" t="s">
        <v>102</v>
      </c>
      <c r="C101" s="33" t="s">
        <v>307</v>
      </c>
      <c r="D101" s="39" t="s">
        <v>20</v>
      </c>
      <c r="E101" s="20" t="s">
        <v>308</v>
      </c>
      <c r="F101" s="21" t="s">
        <v>22</v>
      </c>
      <c r="G101" s="20" t="s">
        <v>308</v>
      </c>
      <c r="H101" s="21" t="s">
        <v>22</v>
      </c>
      <c r="I101" s="22" t="s">
        <v>309</v>
      </c>
      <c r="J101" s="51" t="s">
        <v>22</v>
      </c>
    </row>
    <row r="102" spans="1:10" ht="33" x14ac:dyDescent="0.25">
      <c r="A102" s="39">
        <v>3</v>
      </c>
      <c r="B102" s="46" t="s">
        <v>68</v>
      </c>
      <c r="C102" s="33" t="s">
        <v>104</v>
      </c>
      <c r="D102" s="39" t="s">
        <v>20</v>
      </c>
      <c r="E102" s="20" t="s">
        <v>310</v>
      </c>
      <c r="F102" s="21" t="s">
        <v>22</v>
      </c>
      <c r="G102" s="20" t="s">
        <v>311</v>
      </c>
      <c r="H102" s="51" t="s">
        <v>22</v>
      </c>
      <c r="I102" s="20" t="s">
        <v>312</v>
      </c>
      <c r="J102" s="51" t="s">
        <v>22</v>
      </c>
    </row>
    <row r="103" spans="1:10" ht="33" x14ac:dyDescent="0.25">
      <c r="A103" s="39">
        <v>4</v>
      </c>
      <c r="B103" s="46" t="s">
        <v>108</v>
      </c>
      <c r="C103" s="33" t="s">
        <v>313</v>
      </c>
      <c r="D103" s="39" t="s">
        <v>20</v>
      </c>
      <c r="E103" s="20" t="s">
        <v>314</v>
      </c>
      <c r="F103" s="21" t="s">
        <v>22</v>
      </c>
      <c r="G103" s="20" t="s">
        <v>315</v>
      </c>
      <c r="H103" s="51" t="s">
        <v>22</v>
      </c>
      <c r="I103" s="20" t="s">
        <v>316</v>
      </c>
      <c r="J103" s="51" t="s">
        <v>22</v>
      </c>
    </row>
    <row r="104" spans="1:10" ht="33" x14ac:dyDescent="0.25">
      <c r="A104" s="39">
        <v>5</v>
      </c>
      <c r="B104" s="46" t="s">
        <v>113</v>
      </c>
      <c r="C104" s="33" t="s">
        <v>114</v>
      </c>
      <c r="D104" s="39" t="s">
        <v>20</v>
      </c>
      <c r="E104" s="20" t="s">
        <v>317</v>
      </c>
      <c r="F104" s="21" t="s">
        <v>22</v>
      </c>
      <c r="G104" s="20" t="s">
        <v>318</v>
      </c>
      <c r="H104" s="51" t="s">
        <v>22</v>
      </c>
      <c r="I104" s="20" t="s">
        <v>317</v>
      </c>
      <c r="J104" s="51" t="s">
        <v>22</v>
      </c>
    </row>
    <row r="105" spans="1:10" ht="49.5" x14ac:dyDescent="0.25">
      <c r="A105" s="39">
        <v>6</v>
      </c>
      <c r="B105" s="46" t="s">
        <v>319</v>
      </c>
      <c r="C105" s="33" t="s">
        <v>320</v>
      </c>
      <c r="D105" s="30" t="s">
        <v>57</v>
      </c>
      <c r="E105" s="90" t="s">
        <v>15</v>
      </c>
      <c r="F105" s="57"/>
      <c r="G105" s="54" t="s">
        <v>321</v>
      </c>
      <c r="H105" s="51" t="s">
        <v>22</v>
      </c>
      <c r="I105" s="54" t="s">
        <v>322</v>
      </c>
      <c r="J105" s="51" t="s">
        <v>22</v>
      </c>
    </row>
    <row r="106" spans="1:10" ht="33" x14ac:dyDescent="0.25">
      <c r="A106" s="39">
        <v>7</v>
      </c>
      <c r="B106" s="46" t="s">
        <v>323</v>
      </c>
      <c r="C106" s="33" t="s">
        <v>119</v>
      </c>
      <c r="D106" s="39" t="s">
        <v>20</v>
      </c>
      <c r="E106" s="20" t="s">
        <v>119</v>
      </c>
      <c r="F106" s="21" t="s">
        <v>22</v>
      </c>
      <c r="G106" s="20" t="s">
        <v>119</v>
      </c>
      <c r="H106" s="51" t="s">
        <v>22</v>
      </c>
      <c r="I106" s="20" t="s">
        <v>119</v>
      </c>
      <c r="J106" s="51" t="s">
        <v>22</v>
      </c>
    </row>
    <row r="107" spans="1:10" ht="16.5" x14ac:dyDescent="0.25">
      <c r="A107" s="39">
        <v>8</v>
      </c>
      <c r="B107" s="46" t="s">
        <v>86</v>
      </c>
      <c r="C107" s="33" t="s">
        <v>324</v>
      </c>
      <c r="D107" s="39" t="s">
        <v>20</v>
      </c>
      <c r="E107" s="20" t="s">
        <v>325</v>
      </c>
      <c r="F107" s="21" t="s">
        <v>22</v>
      </c>
      <c r="G107" s="20" t="s">
        <v>326</v>
      </c>
      <c r="H107" s="51" t="s">
        <v>22</v>
      </c>
      <c r="I107" s="20" t="s">
        <v>327</v>
      </c>
      <c r="J107" s="51" t="s">
        <v>22</v>
      </c>
    </row>
    <row r="108" spans="1:10" ht="16.5" x14ac:dyDescent="0.25">
      <c r="A108" s="39">
        <v>9</v>
      </c>
      <c r="B108" s="46" t="s">
        <v>328</v>
      </c>
      <c r="C108" s="33" t="s">
        <v>329</v>
      </c>
      <c r="D108" s="39" t="s">
        <v>20</v>
      </c>
      <c r="E108" s="20" t="s">
        <v>330</v>
      </c>
      <c r="F108" s="21" t="s">
        <v>22</v>
      </c>
      <c r="G108" s="20" t="s">
        <v>331</v>
      </c>
      <c r="H108" s="51" t="s">
        <v>22</v>
      </c>
      <c r="I108" s="50" t="s">
        <v>332</v>
      </c>
      <c r="J108" s="51" t="s">
        <v>22</v>
      </c>
    </row>
    <row r="109" spans="1:10" ht="16.5" x14ac:dyDescent="0.25">
      <c r="A109" s="39">
        <v>10</v>
      </c>
      <c r="B109" s="46" t="s">
        <v>128</v>
      </c>
      <c r="C109" s="59" t="s">
        <v>333</v>
      </c>
      <c r="D109" s="39" t="s">
        <v>20</v>
      </c>
      <c r="E109" s="50" t="s">
        <v>334</v>
      </c>
      <c r="F109" s="21" t="s">
        <v>22</v>
      </c>
      <c r="G109" s="50" t="s">
        <v>335</v>
      </c>
      <c r="H109" s="51" t="s">
        <v>22</v>
      </c>
      <c r="I109" s="50" t="s">
        <v>336</v>
      </c>
      <c r="J109" s="51" t="s">
        <v>22</v>
      </c>
    </row>
    <row r="110" spans="1:10" ht="16.5" x14ac:dyDescent="0.25">
      <c r="A110" s="11" t="s">
        <v>166</v>
      </c>
      <c r="B110" s="12" t="s">
        <v>337</v>
      </c>
      <c r="C110" s="13"/>
      <c r="D110" s="14"/>
      <c r="E110" s="15" t="s">
        <v>338</v>
      </c>
      <c r="F110" s="16"/>
      <c r="G110" s="15" t="s">
        <v>339</v>
      </c>
      <c r="H110" s="16"/>
      <c r="I110" s="15" t="s">
        <v>340</v>
      </c>
      <c r="J110" s="16"/>
    </row>
    <row r="111" spans="1:10" ht="66" x14ac:dyDescent="0.25">
      <c r="A111" s="17">
        <v>1</v>
      </c>
      <c r="B111" s="91" t="s">
        <v>341</v>
      </c>
      <c r="C111" s="92" t="s">
        <v>342</v>
      </c>
      <c r="D111" s="39" t="s">
        <v>20</v>
      </c>
      <c r="E111" s="20" t="s">
        <v>343</v>
      </c>
      <c r="F111" s="21" t="s">
        <v>22</v>
      </c>
      <c r="G111" s="23" t="s">
        <v>344</v>
      </c>
      <c r="H111" s="21" t="s">
        <v>22</v>
      </c>
      <c r="I111" s="20" t="s">
        <v>342</v>
      </c>
      <c r="J111" s="21" t="s">
        <v>22</v>
      </c>
    </row>
    <row r="112" spans="1:10" ht="16.5" x14ac:dyDescent="0.25">
      <c r="A112" s="17">
        <v>2</v>
      </c>
      <c r="B112" s="37" t="s">
        <v>68</v>
      </c>
      <c r="C112" s="92" t="s">
        <v>142</v>
      </c>
      <c r="D112" s="39" t="s">
        <v>20</v>
      </c>
      <c r="E112" s="50" t="s">
        <v>345</v>
      </c>
      <c r="F112" s="21" t="s">
        <v>22</v>
      </c>
      <c r="G112" s="20" t="s">
        <v>346</v>
      </c>
      <c r="H112" s="21" t="s">
        <v>22</v>
      </c>
      <c r="I112" s="20" t="s">
        <v>347</v>
      </c>
      <c r="J112" s="21" t="s">
        <v>22</v>
      </c>
    </row>
    <row r="113" spans="1:10" ht="16.5" x14ac:dyDescent="0.25">
      <c r="A113" s="17">
        <v>3</v>
      </c>
      <c r="B113" s="93" t="s">
        <v>113</v>
      </c>
      <c r="C113" s="92" t="s">
        <v>180</v>
      </c>
      <c r="D113" s="39" t="s">
        <v>20</v>
      </c>
      <c r="E113" s="50" t="s">
        <v>180</v>
      </c>
      <c r="F113" s="21" t="s">
        <v>22</v>
      </c>
      <c r="G113" s="20" t="s">
        <v>180</v>
      </c>
      <c r="H113" s="21" t="s">
        <v>22</v>
      </c>
      <c r="I113" s="20" t="s">
        <v>180</v>
      </c>
      <c r="J113" s="21" t="s">
        <v>22</v>
      </c>
    </row>
    <row r="114" spans="1:10" ht="16.5" x14ac:dyDescent="0.25">
      <c r="A114" s="17">
        <v>4</v>
      </c>
      <c r="B114" s="93" t="s">
        <v>348</v>
      </c>
      <c r="C114" s="92" t="s">
        <v>349</v>
      </c>
      <c r="D114" s="39" t="s">
        <v>20</v>
      </c>
      <c r="E114" s="50" t="s">
        <v>349</v>
      </c>
      <c r="F114" s="21" t="s">
        <v>22</v>
      </c>
      <c r="G114" s="20" t="s">
        <v>349</v>
      </c>
      <c r="H114" s="21" t="s">
        <v>22</v>
      </c>
      <c r="I114" s="20" t="s">
        <v>349</v>
      </c>
      <c r="J114" s="21" t="s">
        <v>22</v>
      </c>
    </row>
    <row r="115" spans="1:10" ht="33" x14ac:dyDescent="0.25">
      <c r="A115" s="17">
        <v>5</v>
      </c>
      <c r="B115" s="93" t="s">
        <v>350</v>
      </c>
      <c r="C115" s="92" t="s">
        <v>351</v>
      </c>
      <c r="D115" s="39" t="s">
        <v>20</v>
      </c>
      <c r="E115" s="50" t="s">
        <v>352</v>
      </c>
      <c r="F115" s="21" t="s">
        <v>22</v>
      </c>
      <c r="G115" s="20" t="s">
        <v>353</v>
      </c>
      <c r="H115" s="21" t="s">
        <v>22</v>
      </c>
      <c r="I115" s="20" t="s">
        <v>354</v>
      </c>
      <c r="J115" s="21" t="s">
        <v>22</v>
      </c>
    </row>
    <row r="116" spans="1:10" ht="16.5" x14ac:dyDescent="0.25">
      <c r="A116" s="17">
        <v>6</v>
      </c>
      <c r="B116" s="93" t="s">
        <v>355</v>
      </c>
      <c r="C116" s="92" t="s">
        <v>356</v>
      </c>
      <c r="D116" s="39" t="s">
        <v>20</v>
      </c>
      <c r="E116" s="23" t="s">
        <v>357</v>
      </c>
      <c r="F116" s="21" t="s">
        <v>22</v>
      </c>
      <c r="G116" s="20" t="s">
        <v>358</v>
      </c>
      <c r="H116" s="21" t="s">
        <v>22</v>
      </c>
      <c r="I116" s="20" t="s">
        <v>359</v>
      </c>
      <c r="J116" s="21" t="s">
        <v>22</v>
      </c>
    </row>
    <row r="118" spans="1:10" x14ac:dyDescent="0.25">
      <c r="I118" s="95" t="s">
        <v>360</v>
      </c>
      <c r="J118" s="95"/>
    </row>
  </sheetData>
  <mergeCells count="38">
    <mergeCell ref="I118:J118"/>
    <mergeCell ref="E99:F99"/>
    <mergeCell ref="G99:H99"/>
    <mergeCell ref="I99:J99"/>
    <mergeCell ref="E110:F110"/>
    <mergeCell ref="G110:H110"/>
    <mergeCell ref="I110:J110"/>
    <mergeCell ref="E78:F78"/>
    <mergeCell ref="G78:H78"/>
    <mergeCell ref="I78:J78"/>
    <mergeCell ref="E89:F89"/>
    <mergeCell ref="G89:H89"/>
    <mergeCell ref="I89:J89"/>
    <mergeCell ref="E52:F52"/>
    <mergeCell ref="G52:H52"/>
    <mergeCell ref="I52:J52"/>
    <mergeCell ref="E65:F65"/>
    <mergeCell ref="G65:H65"/>
    <mergeCell ref="I65:J65"/>
    <mergeCell ref="E29:F29"/>
    <mergeCell ref="G29:H29"/>
    <mergeCell ref="I29:J29"/>
    <mergeCell ref="E41:F41"/>
    <mergeCell ref="G41:H41"/>
    <mergeCell ref="I41:J41"/>
    <mergeCell ref="E8:F8"/>
    <mergeCell ref="G8:H8"/>
    <mergeCell ref="I8:J8"/>
    <mergeCell ref="E19:F19"/>
    <mergeCell ref="G19:H19"/>
    <mergeCell ref="I19:J19"/>
    <mergeCell ref="A1:J1"/>
    <mergeCell ref="A2:A4"/>
    <mergeCell ref="B2:D3"/>
    <mergeCell ref="E2:J2"/>
    <mergeCell ref="E3:F3"/>
    <mergeCell ref="G3:H3"/>
    <mergeCell ref="I3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lucasdao</dc:creator>
  <cp:lastModifiedBy>nghia dao trong</cp:lastModifiedBy>
  <dcterms:created xsi:type="dcterms:W3CDTF">2015-06-05T18:17:20Z</dcterms:created>
  <dcterms:modified xsi:type="dcterms:W3CDTF">2026-04-09T09:32:44Z</dcterms:modified>
</cp:coreProperties>
</file>